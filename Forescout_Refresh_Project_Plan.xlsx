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Phase Schedule" sheetId="2" state="visible" r:id="rId4"/>
    <sheet name="Task Detail" sheetId="3" state="visible" r:id="rId5"/>
    <sheet name="Gantt Chart" sheetId="4" state="visible" r:id="rId6"/>
    <sheet name="Risks" sheetId="5" state="visible" r:id="rId7"/>
    <sheet name="Open Items" sheetId="6" state="visible" r:id="rId8"/>
    <sheet name="Team &amp; Ownership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<sst xmlns="http://schemas.openxmlformats.org/spreadsheetml/2006/main" count="496" uniqueCount="275">
  <si>
    <t xml:space="preserve">Forescout NAC Hardware Refresh &amp; Integration Project</t>
  </si>
  <si>
    <t xml:space="preserve">CVS Health — Network Security Engineering</t>
  </si>
  <si>
    <t xml:space="preserve">Project Window: September 1, 2026 – February 15, 2027 (24 weeks)</t>
  </si>
  <si>
    <t xml:space="preserve">Scope</t>
  </si>
  <si>
    <t xml:space="preserve">• Decommission the 12 existing Forescout appliances</t>
  </si>
  <si>
    <t xml:space="preserve">• Deploy 6 new appliances (consolidated footprint)</t>
  </si>
  <si>
    <t xml:space="preserve">• Integrate Jamf + Intune as authoritative asset management sources</t>
  </si>
  <si>
    <t xml:space="preserve">• Integrate Tanium, Qualys, CrowdStrike for security posture validation</t>
  </si>
  <si>
    <t xml:space="preserve">• Implement MFA for Forescout administrative access via SAML (Ping Identity)</t>
  </si>
  <si>
    <t xml:space="preserve">• Implement NiFi ingestion → Splunk logging/telemetry pipeline</t>
  </si>
  <si>
    <t xml:space="preserve">• Build a standardized RADIUS MAB configuration template</t>
  </si>
  <si>
    <t xml:space="preserve">• Integrate with Palo Alto egress firewalls for Internet egress enforcement</t>
  </si>
  <si>
    <t xml:space="preserve">• Integrate DHCP forwarding with switching infrastructure</t>
  </si>
  <si>
    <t xml:space="preserve">• Enable RAPD (Rogue Access Point Detection) via Forescout physical switch-layer visibility paired with Cisco Catalyst Center RF-layer detection — detection/alerting only</t>
  </si>
  <si>
    <t xml:space="preserve">Out of Scope</t>
  </si>
  <si>
    <t xml:space="preserve">RADIUS 802.1X (non-MAB) policy redesign, Claroty/IoT-OT posture work, CCD EDL/source-of-truth catalog changes, and automated rogue containment (wireless deauth, wired port shutdown) — the latter is a later NAC/ZTNA program decision requiring legal/operational review, not part of this window.</t>
  </si>
  <si>
    <t xml:space="preserve">Current State → Target State</t>
  </si>
  <si>
    <t xml:space="preserve">Dimension</t>
  </si>
  <si>
    <t xml:space="preserve">Current State</t>
  </si>
  <si>
    <t xml:space="preserve">Target State</t>
  </si>
  <si>
    <t xml:space="preserve">Appliance count</t>
  </si>
  <si>
    <t xml:space="preserve">12 appliances</t>
  </si>
  <si>
    <t xml:space="preserve">6 appliances (consolidated)</t>
  </si>
  <si>
    <t xml:space="preserve">Asset management sources</t>
  </si>
  <si>
    <t xml:space="preserve">Not confirmed / legacy MDM feed</t>
  </si>
  <si>
    <t xml:space="preserve">Jamf + Intune (authoritative)</t>
  </si>
  <si>
    <t xml:space="preserve">Posture validation sources</t>
  </si>
  <si>
    <t xml:space="preserve">Tanium, Qualys, CrowdStrike (existing)</t>
  </si>
  <si>
    <t xml:space="preserve">Same three, re-validated post-migration</t>
  </si>
  <si>
    <t xml:space="preserve">Admin access control</t>
  </si>
  <si>
    <t xml:space="preserve">Standard local/AD credential login</t>
  </si>
  <si>
    <t xml:space="preserve">SAML-based MFA via Ping</t>
  </si>
  <si>
    <t xml:space="preserve">Logging/telemetry</t>
  </si>
  <si>
    <t xml:space="preserve">Not centrally piped / ad hoc</t>
  </si>
  <si>
    <t xml:space="preserve">NiFi ingestion pipeline → Splunk</t>
  </si>
  <si>
    <t xml:space="preserve">Non-802.1X device auth</t>
  </si>
  <si>
    <t xml:space="preserve">No standardized approach</t>
  </si>
  <si>
    <t xml:space="preserve">Templated RADIUS MAB configuration</t>
  </si>
  <si>
    <t xml:space="preserve">Egress enforcement</t>
  </si>
  <si>
    <t xml:space="preserve">Not integrated with NAC posture</t>
  </si>
  <si>
    <t xml:space="preserve">Palo Alto egress FW enforcing on Forescout state</t>
  </si>
  <si>
    <t xml:space="preserve">DHCP visibility</t>
  </si>
  <si>
    <t xml:space="preserve">Not integrated with switching</t>
  </si>
  <si>
    <t xml:space="preserve">DHCP forwarding integrated with switch infrastructure</t>
  </si>
  <si>
    <t xml:space="preserve">Rogue AP detection (RAPD)</t>
  </si>
  <si>
    <t xml:space="preserve">Armis; static authorized-AP list; RF-layer only, switch-layer correlation unconfirmed</t>
  </si>
  <si>
    <t xml:space="preserve">Forescout (physical switch-layer) + Cisco Catalyst Center (RF-layer, dynamic); detection/alerting only</t>
  </si>
  <si>
    <t xml:space="preserve">Key Assumption</t>
  </si>
  <si>
    <t xml:space="preserve">No production cutover, enforcement change, or appliance removal occurs between Nov 24, 2026 and Jan 4, 2027 (Thanksgiving through New Year change freeze). See 'Phase Schedule' tab.</t>
  </si>
  <si>
    <t xml:space="preserve">Phase #</t>
  </si>
  <si>
    <t xml:space="preserve">Workstream</t>
  </si>
  <si>
    <t xml:space="preserve">Start Date</t>
  </si>
  <si>
    <t xml:space="preserve">End Date</t>
  </si>
  <si>
    <t xml:space="preserve">Duration (days)</t>
  </si>
  <si>
    <t xml:space="preserve">Duration (weeks)</t>
  </si>
  <si>
    <t xml:space="preserve">Notes</t>
  </si>
  <si>
    <t xml:space="preserve">0</t>
  </si>
  <si>
    <t xml:space="preserve">Discovery &amp; Design</t>
  </si>
  <si>
    <t xml:space="preserve">Covers design for all 8 integration workstreams</t>
  </si>
  <si>
    <t xml:space="preserve">1</t>
  </si>
  <si>
    <t xml:space="preserve">New Hardware Deployment (6 appliances)</t>
  </si>
  <si>
    <t xml:space="preserve">4</t>
  </si>
  <si>
    <t xml:space="preserve">MFA Admin Access (SAML/Ping)</t>
  </si>
  <si>
    <t xml:space="preserve">Independent track, not on hardware critical path</t>
  </si>
  <si>
    <t xml:space="preserve">8</t>
  </si>
  <si>
    <t xml:space="preserve">DHCP Forwarding Integration w/ Switching</t>
  </si>
  <si>
    <t xml:space="preserve">2</t>
  </si>
  <si>
    <t xml:space="preserve">Asset Mgmt Integration (Jamf + Intune)</t>
  </si>
  <si>
    <t xml:space="preserve">3</t>
  </si>
  <si>
    <t xml:space="preserve">Posture Integration (Tanium/Qualys/CrowdStrike)</t>
  </si>
  <si>
    <t xml:space="preserve">6</t>
  </si>
  <si>
    <t xml:space="preserve">RADIUS MAB Configuration Template</t>
  </si>
  <si>
    <t xml:space="preserve">5</t>
  </si>
  <si>
    <t xml:space="preserve">Logging &amp; Telemetry (NiFi + Splunk)</t>
  </si>
  <si>
    <t xml:space="preserve">7</t>
  </si>
  <si>
    <t xml:space="preserve">Palo Alto Egress FW Integration</t>
  </si>
  <si>
    <t xml:space="preserve">Depends on Phase 0 decision: User-ID vs. tag/EDL</t>
  </si>
  <si>
    <t xml:space="preserve">11</t>
  </si>
  <si>
    <t xml:space="preserve">RAPD Detection Enablement (Forescout + Catalyst Center)</t>
  </si>
  <si>
    <t xml:space="preserve">Detection/SOC alerting only; containment deferred to a later phase</t>
  </si>
  <si>
    <t xml:space="preserve">—</t>
  </si>
  <si>
    <t xml:space="preserve">Change Freeze / Stabilization Window</t>
  </si>
  <si>
    <t xml:space="preserve">No production cutover activity; validation/rehearsal only</t>
  </si>
  <si>
    <t xml:space="preserve">9</t>
  </si>
  <si>
    <t xml:space="preserve">Cutover (all sites)</t>
  </si>
  <si>
    <t xml:space="preserve">10</t>
  </si>
  <si>
    <t xml:space="preserve">Decommission (12 legacy appliances)</t>
  </si>
  <si>
    <t xml:space="preserve">Phase</t>
  </si>
  <si>
    <t xml:space="preserve">Task</t>
  </si>
  <si>
    <t xml:space="preserve">Owner</t>
  </si>
  <si>
    <t xml:space="preserve">Status</t>
  </si>
  <si>
    <t xml:space="preserve">0 - Discovery &amp; Design</t>
  </si>
  <si>
    <t xml:space="preserve">Inventory and validate all 12 existing appliances (site, IP, policy bindings, RADIUS clients)</t>
  </si>
  <si>
    <t xml:space="preserve">Team</t>
  </si>
  <si>
    <t xml:space="preserve">Not Started</t>
  </si>
  <si>
    <t xml:space="preserve">Confirm target site placement for 6 new appliances (consolidation ratio, HA design)</t>
  </si>
  <si>
    <t xml:space="preserve">Michael + Team</t>
  </si>
  <si>
    <t xml:space="preserve">Define Jamf/Intune API integration requirements</t>
  </si>
  <si>
    <t xml:space="preserve">Assigned engineer</t>
  </si>
  <si>
    <t xml:space="preserve">Define Tanium/Qualys/CrowdStrike re-integration requirements</t>
  </si>
  <si>
    <t xml:space="preserve">Design Ping SAML integration (metadata exchange, attribute mapping)</t>
  </si>
  <si>
    <t xml:space="preserve">Design NiFi ingestion flows and Splunk index/sourcetype strategy</t>
  </si>
  <si>
    <t xml:space="preserve">Define RADIUS MAB template requirements (device classes, fallback policy)</t>
  </si>
  <si>
    <t xml:space="preserve">Define Palo Alto egress FW integration mechanism (User-ID vs. tag/EDL)</t>
  </si>
  <si>
    <t xml:space="preserve">Assigned engineer + PA team</t>
  </si>
  <si>
    <t xml:space="preserve">Define DHCP forwarding requirements per switch platform</t>
  </si>
  <si>
    <t xml:space="preserve">Assigned engineer + Switching team</t>
  </si>
  <si>
    <t xml:space="preserve">Schedule Armis technical architecture review to resolve open RAPD items</t>
  </si>
  <si>
    <t xml:space="preserve">Michael</t>
  </si>
  <si>
    <t xml:space="preserve">Confirm Cisco Catalyst Center licensing (Rogue Management/aWIPS) and WLC/9800 versions</t>
  </si>
  <si>
    <t xml:space="preserve">Assigned engineer + Catalyst Center/wireless team</t>
  </si>
  <si>
    <t xml:space="preserve">Confirm with GRC that PCI DSS v4.0 Req 11.2 maps to a Forescout + Catalyst Center model</t>
  </si>
  <si>
    <t xml:space="preserve">Michael + GRC</t>
  </si>
  <si>
    <t xml:space="preserve">Build cutover and rollback plan per site</t>
  </si>
  <si>
    <t xml:space="preserve">1 - New Hardware Deployment</t>
  </si>
  <si>
    <t xml:space="preserve">Procure/stage 6 new appliances</t>
  </si>
  <si>
    <t xml:space="preserve">Rack, cable, base-OS configuration at target sites</t>
  </si>
  <si>
    <t xml:space="preserve">Apply baseline policy configuration (mirrored from production, pre-integration)</t>
  </si>
  <si>
    <t xml:space="preserve">Establish HA/clustering between new appliances</t>
  </si>
  <si>
    <t xml:space="preserve">Validate network reachability (mgmt VLAN, SPAN ports, RADIUS listener)</t>
  </si>
  <si>
    <t xml:space="preserve">4 - MFA Admin Access</t>
  </si>
  <si>
    <t xml:space="preserve">Register Forescout admin console as SP in PingFederate/PingOne</t>
  </si>
  <si>
    <t xml:space="preserve">Assigned engineer + Ping team</t>
  </si>
  <si>
    <t xml:space="preserve">Configure SAML assertion attributes (role, group, admin tier)</t>
  </si>
  <si>
    <t xml:space="preserve">Configure Forescout to accept SAML SSO, enforce MFA at IdP</t>
  </si>
  <si>
    <t xml:space="preserve">Test MFA login across admin roles</t>
  </si>
  <si>
    <t xml:space="preserve">Define break-glass/local-admin fallback procedure</t>
  </si>
  <si>
    <t xml:space="preserve">8 - DHCP Forwarding</t>
  </si>
  <si>
    <t xml:space="preserve">Inventory switch platforms and current DHCP relay config per site</t>
  </si>
  <si>
    <t xml:space="preserve">Switching team</t>
  </si>
  <si>
    <t xml:space="preserve">Define target DHCP forwarding config (IP helpers, per VLAN)</t>
  </si>
  <si>
    <t xml:space="preserve">Stage config changes per site (maintenance windows)</t>
  </si>
  <si>
    <t xml:space="preserve">Validate Forescout visibility into DHCP lease/fingerprint data</t>
  </si>
  <si>
    <t xml:space="preserve">Rollback/troubleshoot plan per site</t>
  </si>
  <si>
    <t xml:space="preserve">Switching team + Michael</t>
  </si>
  <si>
    <t xml:space="preserve">2 - Asset Mgmt Integration</t>
  </si>
  <si>
    <t xml:space="preserve">Establish API service accounts/app registrations in Jamf and Intune</t>
  </si>
  <si>
    <t xml:space="preserve">Configure Forescout connectors for Jamf/Intune ingestion</t>
  </si>
  <si>
    <t xml:space="preserve">Validate device attribute mapping into policy engine</t>
  </si>
  <si>
    <t xml:space="preserve">Reconcile Jamf/Intune inventory against Forescout inventory</t>
  </si>
  <si>
    <t xml:space="preserve">Resolve discrepancies (orphaned/duplicate/stale entries)</t>
  </si>
  <si>
    <t xml:space="preserve">3 - Posture Integration</t>
  </si>
  <si>
    <t xml:space="preserve">Re-establish Tanium connector on new appliances</t>
  </si>
  <si>
    <t xml:space="preserve">Re-establish Qualys connector</t>
  </si>
  <si>
    <t xml:space="preserve">Re-establish CrowdStrike connector</t>
  </si>
  <si>
    <t xml:space="preserve">Validate posture data flow into policy decisions</t>
  </si>
  <si>
    <t xml:space="preserve">Parity test vs. legacy stack outcomes</t>
  </si>
  <si>
    <t xml:space="preserve">6 - RADIUS MAB Template</t>
  </si>
  <si>
    <t xml:space="preserve">Identify device classes requiring MAB</t>
  </si>
  <si>
    <t xml:space="preserve">Build standardized MAB policy template</t>
  </si>
  <si>
    <t xml:space="preserve">Define exception/onboarding process for post-go-live additions</t>
  </si>
  <si>
    <t xml:space="preserve">Test MAB template against sample device classes per site</t>
  </si>
  <si>
    <t xml:space="preserve">Document template for team/runbook use</t>
  </si>
  <si>
    <t xml:space="preserve">5 - Logging &amp; Telemetry</t>
  </si>
  <si>
    <t xml:space="preserve">Stand up NiFi flow to receive Forescout syslog/API events</t>
  </si>
  <si>
    <t xml:space="preserve">Build NiFi processors (parsing, enrichment, routing)</t>
  </si>
  <si>
    <t xml:space="preserve">Configure Splunk index(es)/sourcetypes</t>
  </si>
  <si>
    <t xml:space="preserve">Assigned engineer + Splunk team</t>
  </si>
  <si>
    <t xml:space="preserve">Validate end-to-end delivery with sample events</t>
  </si>
  <si>
    <t xml:space="preserve">Build baseline dashboards/alerts</t>
  </si>
  <si>
    <t xml:space="preserve">Decommission legacy/ad hoc logging path</t>
  </si>
  <si>
    <t xml:space="preserve">7 - Palo Alto Egress FW</t>
  </si>
  <si>
    <t xml:space="preserve">Confirm context-sharing mechanism (User-ID / DAG-tag / EDL)</t>
  </si>
  <si>
    <t xml:space="preserve">Configure Forescout to publish posture-based tags on state change</t>
  </si>
  <si>
    <t xml:space="preserve">Configure PA egress policy keyed to Forescout tags</t>
  </si>
  <si>
    <t xml:space="preserve">PA/firewall team</t>
  </si>
  <si>
    <t xml:space="preserve">Validate enforcement — non-compliant/quarantined restriction</t>
  </si>
  <si>
    <t xml:space="preserve">Validate enforcement — compliant endpoints retain access</t>
  </si>
  <si>
    <t xml:space="preserve">Load/scale test tag propagation latency (validation only — freeze window)</t>
  </si>
  <si>
    <t xml:space="preserve">11 - RAPD Detection Enablement</t>
  </si>
  <si>
    <t xml:space="preserve">Confirm Forescout switch-layer visibility extends to DHCP lease-data integration and covers retail-store infra outside Catalyst Center scope</t>
  </si>
  <si>
    <t xml:space="preserve">Establish correlation mechanism between Forescout switch-port MAC visibility and Catalyst Center RF-layer rogue candidates</t>
  </si>
  <si>
    <t xml:space="preserve">Route RAPD detection events through the NiFi/Splunk pipeline for SOC alerting (MAC, BSSID, location, timestamp, classification)</t>
  </si>
  <si>
    <t xml:space="preserve">Validate detect-notify-investigate-remediate workflow end-to-end against a test rogue scenario (validation only — freeze window)</t>
  </si>
  <si>
    <t xml:space="preserve">Document Armis-to-Forescout/Catalyst-Center transition state; confirm with GRC it satisfies PCI DSS 11.2/12.10.1</t>
  </si>
  <si>
    <t xml:space="preserve">9 - Cutover</t>
  </si>
  <si>
    <t xml:space="preserve">Site-by-site cutover from 12-appliance to 6-appliance footprint</t>
  </si>
  <si>
    <t xml:space="preserve">Migrate live RADIUS enforcement (802.1X + MAB) to new appliances</t>
  </si>
  <si>
    <t xml:space="preserve">Cut over DHCP forwarding, egress FW enforcement, logging pipeline per site</t>
  </si>
  <si>
    <t xml:space="preserve">Monitor for enforcement gaps during parallel-run window</t>
  </si>
  <si>
    <t xml:space="preserve">Confirm no authentication/posture/egress regressions per site</t>
  </si>
  <si>
    <t xml:space="preserve">10 - Decommission</t>
  </si>
  <si>
    <t xml:space="preserve">Confirm no active dependencies remain on the 12 legacy appliances</t>
  </si>
  <si>
    <t xml:space="preserve">Remove legacy appliances from Panorama/management, network, monitoring</t>
  </si>
  <si>
    <t xml:space="preserve">Physical decommission (power down, de-rack, asset disposition)</t>
  </si>
  <si>
    <t xml:space="preserve">Update CMDB/inventory records to reflect final 6-appliance state</t>
  </si>
  <si>
    <t xml:space="preserve">1 - New Hardware Deployment (6 appliances)</t>
  </si>
  <si>
    <t xml:space="preserve">4 - MFA Admin Access (SAML/Ping)</t>
  </si>
  <si>
    <t xml:space="preserve">8 - DHCP Forwarding Integration w/ Switching</t>
  </si>
  <si>
    <t xml:space="preserve">2 - Asset Mgmt Integration (Jamf + Intune)</t>
  </si>
  <si>
    <t xml:space="preserve">3 - Posture Integration (Tanium/Qualys/CrowdStrike)</t>
  </si>
  <si>
    <t xml:space="preserve">6 - RADIUS MAB Configuration Template</t>
  </si>
  <si>
    <t xml:space="preserve">5 - Logging &amp; Telemetry (NiFi + Splunk)</t>
  </si>
  <si>
    <t xml:space="preserve">7 - Palo Alto Egress FW Integration</t>
  </si>
  <si>
    <t xml:space="preserve">11 - RAPD Detection Enablement (Forescout + Catalyst Center)</t>
  </si>
  <si>
    <t xml:space="preserve">9 - Cutover (all sites)</t>
  </si>
  <si>
    <t xml:space="preserve">10 - Decommission (12 legacy appliances)</t>
  </si>
  <si>
    <t xml:space="preserve">Legend:</t>
  </si>
  <si>
    <t xml:space="preserve">  Active workstream</t>
  </si>
  <si>
    <t xml:space="preserve">  Change freeze / stabilization window</t>
  </si>
  <si>
    <t xml:space="preserve">Risk</t>
  </si>
  <si>
    <t xml:space="preserve">Impact</t>
  </si>
  <si>
    <t xml:space="preserve">Mitigation</t>
  </si>
  <si>
    <t xml:space="preserve">12→6 consolidation undersizes capacity at high-density sites</t>
  </si>
  <si>
    <t xml:space="preserve">Enforcement gaps, performance degradation</t>
  </si>
  <si>
    <t xml:space="preserve">Validate throughput/session capacity in Phase 0 before hardware order is finalized</t>
  </si>
  <si>
    <t xml:space="preserve">Jamf/Intune data mapping mismatches with Forescout policy logic</t>
  </si>
  <si>
    <t xml:space="preserve">False posture decisions, access denials</t>
  </si>
  <si>
    <t xml:space="preserve">Reconciliation and parity testing before cutover</t>
  </si>
  <si>
    <t xml:space="preserve">Ping SAML misconfiguration locks out admin access</t>
  </si>
  <si>
    <t xml:space="preserve">Loss of NAC management during cutover</t>
  </si>
  <si>
    <t xml:space="preserve">Break-glass fallback tested before Phase 9</t>
  </si>
  <si>
    <t xml:space="preserve">Posture connector re-establishment introduces stale/duplicate data</t>
  </si>
  <si>
    <t xml:space="preserve">Incorrect enforcement decisions</t>
  </si>
  <si>
    <t xml:space="preserve">Parity test against legacy outcomes before go-live</t>
  </si>
  <si>
    <t xml:space="preserve">NiFi/Splunk pipeline lag under high event volume</t>
  </si>
  <si>
    <t xml:space="preserve">Blind spots in enforcement visibility</t>
  </si>
  <si>
    <t xml:space="preserve">Load-test in Phase 5; keep legacy logging live until validated</t>
  </si>
  <si>
    <t xml:space="preserve">MAB template misclassifies a device</t>
  </si>
  <si>
    <t xml:space="preserve">Security exposure or endpoint outage</t>
  </si>
  <si>
    <t xml:space="preserve">Test against representative samples per site; documented exception path</t>
  </si>
  <si>
    <t xml:space="preserve">PA tag/group propagation delay</t>
  </si>
  <si>
    <t xml:space="preserve">Temporary over-/under-enforcement at egress</t>
  </si>
  <si>
    <t xml:space="preserve">Load/scale test in Phase 7; agree acceptable latency threshold with PA team</t>
  </si>
  <si>
    <t xml:space="preserve">DHCP forwarding change disrupts endpoint connectivity</t>
  </si>
  <si>
    <t xml:space="preserve">Site-wide outage</t>
  </si>
  <si>
    <t xml:space="preserve">Stage in maintenance windows; per-site rollback plan</t>
  </si>
  <si>
    <t xml:space="preserve">Change freeze compresses effective working time to ~19 of 24 weeks</t>
  </si>
  <si>
    <t xml:space="preserve">Schedule pressure if any phase slips into Nov 24–Jan 4</t>
  </si>
  <si>
    <t xml:space="preserve">Phases 0–8 sequenced to complete by Dec 7, leaving the freeze window as buffer, not critical path</t>
  </si>
  <si>
    <t xml:space="preserve">Site cutover sequencing gap across multiple integrated systems</t>
  </si>
  <si>
    <t xml:space="preserve">Temporary loss of enforcement/visibility</t>
  </si>
  <si>
    <t xml:space="preserve">Parallel-run window per site; no legacy appliance removed until all systems confirmed stable</t>
  </si>
  <si>
    <t xml:space="preserve">Cisco Catalyst Center's wired correlation only works for Catalyst-Center-managed switches</t>
  </si>
  <si>
    <t xml:space="preserve">Blind spot for non-Cisco and retail-store infrastructure</t>
  </si>
  <si>
    <t xml:space="preserve">Forescout's vendor-independent port-level visibility (Phase 11) is the compensating control, not optional</t>
  </si>
  <si>
    <t xml:space="preserve">RAPD alternative not yet validated with Armis or GRC before adoption</t>
  </si>
  <si>
    <t xml:space="preserve">Risk of building against an unconfirmed compliance mapping</t>
  </si>
  <si>
    <t xml:space="preserve">Phase 0 Armis architecture review and GRC confirmation must close before Phase 11 is treated as final</t>
  </si>
  <si>
    <t xml:space="preserve">#</t>
  </si>
  <si>
    <t xml:space="preserve">Open Item / Decision Needed</t>
  </si>
  <si>
    <t xml:space="preserve">Confirm final site placement/HA design for the 6 new appliances</t>
  </si>
  <si>
    <t xml:space="preserve">TBD</t>
  </si>
  <si>
    <t xml:space="preserve">Open</t>
  </si>
  <si>
    <t xml:space="preserve">Confirm procurement lead time for new hardware (assumed to fit Sep 29–Oct 12; if longer, Phase 1 and overlapping phases shift right)</t>
  </si>
  <si>
    <t xml:space="preserve">Confirm Ping environment (PingFederate on-prem vs. PingOne cloud)</t>
  </si>
  <si>
    <t xml:space="preserve">Confirm break-glass admin access policy owner (Security Engineering vs. IAM)</t>
  </si>
  <si>
    <t xml:space="preserve">Confirm Forescout → Palo Alto context-sharing mechanism</t>
  </si>
  <si>
    <t xml:space="preserve">Confirm Splunk index ownership/retention requirements</t>
  </si>
  <si>
    <t xml:space="preserve">Confirm switch platform inventory and whether DHCP forwarding needs a broader change window</t>
  </si>
  <si>
    <t xml:space="preserve">Confirm final device-class list requiring RADIUS MAB</t>
  </si>
  <si>
    <t xml:space="preserve">Confirm whether the Nov 24–Jan 4 change freeze assumption is accurate for this environment</t>
  </si>
  <si>
    <t xml:space="preserve">Resolve open Armis items via technical architecture review (correlation mechanism, containment capability, licensed module name) before treating Armis transition as decided</t>
  </si>
  <si>
    <t xml:space="preserve">Confirm Cisco Catalyst Center licensing and required WLC/9800 software versions across the estate</t>
  </si>
  <si>
    <t xml:space="preserve">Confirm GRC concurrence that Forescout + Catalyst Center satisfies PCI DSS v4.0 Requirement 11.2 / 12.10.1</t>
  </si>
  <si>
    <t xml:space="preserve">Confirm whether the current retail-store control model (no dedicated RF sensor; Forescout NAC + 802.1X/DHCP snooping) remains acceptable or needs revisiting</t>
  </si>
  <si>
    <t xml:space="preserve">Role</t>
  </si>
  <si>
    <t xml:space="preserve">Name / Group</t>
  </si>
  <si>
    <t xml:space="preserve">Responsibility</t>
  </si>
  <si>
    <t xml:space="preserve">Program Owner</t>
  </si>
  <si>
    <t xml:space="preserve">Michael J. Martin</t>
  </si>
  <si>
    <t xml:space="preserve">Cutover/decommission sign-off, cross-team engagement lead</t>
  </si>
  <si>
    <t xml:space="preserve">Engineer</t>
  </si>
  <si>
    <t xml:space="preserve">Art</t>
  </si>
  <si>
    <t xml:space="preserve">Task execution across hardware, integration, and cutover workstreams</t>
  </si>
  <si>
    <t xml:space="preserve">Joe</t>
  </si>
  <si>
    <t xml:space="preserve">John</t>
  </si>
  <si>
    <t xml:space="preserve">Cross-functional dependency</t>
  </si>
  <si>
    <t xml:space="preserve">Splunk/NiFi platform team</t>
  </si>
  <si>
    <t xml:space="preserve">Logging pipeline design and index configuration</t>
  </si>
  <si>
    <t xml:space="preserve">Palo Alto/firewall team</t>
  </si>
  <si>
    <t xml:space="preserve">Egress FW policy configuration and validation</t>
  </si>
  <si>
    <t xml:space="preserve">DHCP forwarding configuration across switch infrastructure</t>
  </si>
  <si>
    <t xml:space="preserve">Ping/IAM team</t>
  </si>
  <si>
    <t xml:space="preserve">SAML SSO/MFA integration for admin access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</si>
</sst>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yy"/>
    <numFmt numFmtId="166" formatCode="General"/>
    <numFmt numFmtId="167" formatCode="mm/dd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A"/>
        <bgColor rgb="FFFFFFFF"/>
      </patternFill>
    </fill>
    <fill>
      <patternFill patternType="solid">
        <fgColor rgb="FFFFF2CC"/>
        <bgColor rgb="FFF2F6FA"/>
      </patternFill>
    </fill>
    <fill>
      <patternFill patternType="solid">
        <fgColor rgb="FF2E86C1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86C1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  <col collapsed="false" customWidth="true" hidden="false" outlineLevel="0" max="3" min="2" style="0" width="30"/>
    <col collapsed="false" customWidth="true" hidden="false" outlineLevel="0" max="6" min="4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4" t="s">
        <v>9</v>
      </c>
    </row>
    <row r="12" customFormat="false" ht="15" hidden="false" customHeight="false" outlineLevel="0" collapsed="false">
      <c r="A12" s="4" t="s">
        <v>10</v>
      </c>
    </row>
    <row r="13" customFormat="false" ht="15" hidden="false" customHeight="false" outlineLevel="0" collapsed="false">
      <c r="A13" s="4" t="s">
        <v>11</v>
      </c>
    </row>
    <row r="14" customFormat="false" ht="15" hidden="false" customHeight="false" outlineLevel="0" collapsed="false">
      <c r="A14" s="4" t="s">
        <v>12</v>
      </c>
    </row>
    <row r="15" customFormat="false" ht="15" hidden="false" customHeight="false" outlineLevel="0" collapsed="false">
      <c r="A15" s="4" t="s">
        <v>13</v>
      </c>
    </row>
    <row r="17" customFormat="false" ht="15" hidden="false" customHeight="false" outlineLevel="0" collapsed="false">
      <c r="A17" s="2" t="s">
        <v>14</v>
      </c>
    </row>
    <row r="18" customFormat="false" ht="23.85" hidden="false" customHeight="true" outlineLevel="0" collapsed="false">
      <c r="A18" s="5" t="s">
        <v>15</v>
      </c>
      <c r="B18" s="5"/>
      <c r="C18" s="5"/>
      <c r="D18" s="5"/>
      <c r="E18" s="5"/>
      <c r="F18" s="5"/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6" t="s">
        <v>17</v>
      </c>
      <c r="B21" s="6" t="s">
        <v>18</v>
      </c>
      <c r="C21" s="6" t="s">
        <v>19</v>
      </c>
    </row>
    <row r="22" customFormat="false" ht="15" hidden="false" customHeight="false" outlineLevel="0" collapsed="false">
      <c r="A22" s="7" t="s">
        <v>20</v>
      </c>
      <c r="B22" s="7" t="s">
        <v>21</v>
      </c>
      <c r="C22" s="7" t="s">
        <v>22</v>
      </c>
    </row>
    <row r="23" customFormat="false" ht="15" hidden="false" customHeight="false" outlineLevel="0" collapsed="false">
      <c r="A23" s="8" t="s">
        <v>23</v>
      </c>
      <c r="B23" s="8" t="s">
        <v>24</v>
      </c>
      <c r="C23" s="8" t="s">
        <v>25</v>
      </c>
    </row>
    <row r="24" customFormat="false" ht="23.85" hidden="false" customHeight="false" outlineLevel="0" collapsed="false">
      <c r="A24" s="7" t="s">
        <v>26</v>
      </c>
      <c r="B24" s="7" t="s">
        <v>27</v>
      </c>
      <c r="C24" s="7" t="s">
        <v>28</v>
      </c>
    </row>
    <row r="25" customFormat="false" ht="15" hidden="false" customHeight="false" outlineLevel="0" collapsed="false">
      <c r="A25" s="8" t="s">
        <v>29</v>
      </c>
      <c r="B25" s="8" t="s">
        <v>30</v>
      </c>
      <c r="C25" s="8" t="s">
        <v>31</v>
      </c>
    </row>
    <row r="26" customFormat="false" ht="15" hidden="false" customHeight="false" outlineLevel="0" collapsed="false">
      <c r="A26" s="7" t="s">
        <v>32</v>
      </c>
      <c r="B26" s="7" t="s">
        <v>33</v>
      </c>
      <c r="C26" s="7" t="s">
        <v>34</v>
      </c>
    </row>
    <row r="27" customFormat="false" ht="23.85" hidden="false" customHeight="false" outlineLevel="0" collapsed="false">
      <c r="A27" s="8" t="s">
        <v>35</v>
      </c>
      <c r="B27" s="8" t="s">
        <v>36</v>
      </c>
      <c r="C27" s="8" t="s">
        <v>37</v>
      </c>
    </row>
    <row r="28" customFormat="false" ht="23.85" hidden="false" customHeight="false" outlineLevel="0" collapsed="false">
      <c r="A28" s="7" t="s">
        <v>38</v>
      </c>
      <c r="B28" s="7" t="s">
        <v>39</v>
      </c>
      <c r="C28" s="7" t="s">
        <v>40</v>
      </c>
    </row>
    <row r="29" customFormat="false" ht="23.85" hidden="false" customHeight="false" outlineLevel="0" collapsed="false">
      <c r="A29" s="8" t="s">
        <v>41</v>
      </c>
      <c r="B29" s="8" t="s">
        <v>42</v>
      </c>
      <c r="C29" s="8" t="s">
        <v>43</v>
      </c>
    </row>
    <row r="30" customFormat="false" ht="35.05" hidden="false" customHeight="false" outlineLevel="0" collapsed="false">
      <c r="A30" s="7" t="s">
        <v>44</v>
      </c>
      <c r="B30" s="7" t="s">
        <v>45</v>
      </c>
      <c r="C30" s="7" t="s">
        <v>46</v>
      </c>
    </row>
    <row r="32" customFormat="false" ht="15" hidden="false" customHeight="false" outlineLevel="0" collapsed="false">
      <c r="A32" s="2" t="s">
        <v>47</v>
      </c>
    </row>
    <row r="33" customFormat="false" ht="15" hidden="false" customHeight="true" outlineLevel="0" collapsed="false">
      <c r="A33" s="5" t="s">
        <v>48</v>
      </c>
      <c r="B33" s="5"/>
      <c r="C33" s="5"/>
      <c r="D33" s="5"/>
      <c r="E33" s="5"/>
      <c r="F33" s="5"/>
    </row>
  </sheetData>
  <mergeCells count="2">
    <mergeCell ref="A18:F18"/>
    <mergeCell ref="A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0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48"/>
  </cols>
  <sheetData>
    <row r="1" customFormat="false" ht="26.85" hidden="false" customHeight="false" outlineLevel="0" collapsed="false">
      <c r="A1" s="6" t="s">
        <v>49</v>
      </c>
      <c r="B1" s="6" t="s">
        <v>50</v>
      </c>
      <c r="C1" s="6" t="s">
        <v>51</v>
      </c>
      <c r="D1" s="6" t="s">
        <v>52</v>
      </c>
      <c r="E1" s="6" t="s">
        <v>53</v>
      </c>
      <c r="F1" s="6" t="s">
        <v>54</v>
      </c>
      <c r="G1" s="6" t="s">
        <v>55</v>
      </c>
    </row>
    <row r="2" customFormat="false" ht="15" hidden="false" customHeight="false" outlineLevel="0" collapsed="false">
      <c r="A2" s="9" t="s">
        <v>56</v>
      </c>
      <c r="B2" s="7" t="s">
        <v>57</v>
      </c>
      <c r="C2" s="10" t="n">
        <v>46266</v>
      </c>
      <c r="D2" s="10" t="n">
        <v>46293</v>
      </c>
      <c r="E2" s="11" t="n">
        <f aca="false">D2-C2+1</f>
        <v>28</v>
      </c>
      <c r="F2" s="11" t="n">
        <f aca="false">ROUND(E2/7,1)</f>
        <v>4</v>
      </c>
      <c r="G2" s="7" t="s">
        <v>58</v>
      </c>
    </row>
    <row r="3" customFormat="false" ht="15" hidden="false" customHeight="false" outlineLevel="0" collapsed="false">
      <c r="A3" s="9" t="s">
        <v>59</v>
      </c>
      <c r="B3" s="7" t="s">
        <v>60</v>
      </c>
      <c r="C3" s="10" t="n">
        <v>46294</v>
      </c>
      <c r="D3" s="10" t="n">
        <v>46328</v>
      </c>
      <c r="E3" s="11" t="n">
        <f aca="false">D3-C3+1</f>
        <v>35</v>
      </c>
      <c r="F3" s="11" t="n">
        <f aca="false">ROUND(E3/7,1)</f>
        <v>5</v>
      </c>
      <c r="G3" s="7"/>
    </row>
    <row r="4" customFormat="false" ht="15" hidden="false" customHeight="false" outlineLevel="0" collapsed="false">
      <c r="A4" s="9" t="s">
        <v>61</v>
      </c>
      <c r="B4" s="7" t="s">
        <v>62</v>
      </c>
      <c r="C4" s="10" t="n">
        <v>46294</v>
      </c>
      <c r="D4" s="10" t="n">
        <v>46328</v>
      </c>
      <c r="E4" s="11" t="n">
        <f aca="false">D4-C4+1</f>
        <v>35</v>
      </c>
      <c r="F4" s="11" t="n">
        <f aca="false">ROUND(E4/7,1)</f>
        <v>5</v>
      </c>
      <c r="G4" s="7" t="s">
        <v>63</v>
      </c>
    </row>
    <row r="5" customFormat="false" ht="15" hidden="false" customHeight="false" outlineLevel="0" collapsed="false">
      <c r="A5" s="9" t="s">
        <v>64</v>
      </c>
      <c r="B5" s="7" t="s">
        <v>65</v>
      </c>
      <c r="C5" s="10" t="n">
        <v>46301</v>
      </c>
      <c r="D5" s="10" t="n">
        <v>46335</v>
      </c>
      <c r="E5" s="11" t="n">
        <f aca="false">D5-C5+1</f>
        <v>35</v>
      </c>
      <c r="F5" s="11" t="n">
        <f aca="false">ROUND(E5/7,1)</f>
        <v>5</v>
      </c>
      <c r="G5" s="7"/>
    </row>
    <row r="6" customFormat="false" ht="15" hidden="false" customHeight="false" outlineLevel="0" collapsed="false">
      <c r="A6" s="9" t="s">
        <v>66</v>
      </c>
      <c r="B6" s="7" t="s">
        <v>67</v>
      </c>
      <c r="C6" s="10" t="n">
        <v>46308</v>
      </c>
      <c r="D6" s="10" t="n">
        <v>46342</v>
      </c>
      <c r="E6" s="11" t="n">
        <f aca="false">D6-C6+1</f>
        <v>35</v>
      </c>
      <c r="F6" s="11" t="n">
        <f aca="false">ROUND(E6/7,1)</f>
        <v>5</v>
      </c>
      <c r="G6" s="7"/>
    </row>
    <row r="7" customFormat="false" ht="15" hidden="false" customHeight="false" outlineLevel="0" collapsed="false">
      <c r="A7" s="9" t="s">
        <v>68</v>
      </c>
      <c r="B7" s="7" t="s">
        <v>69</v>
      </c>
      <c r="C7" s="10" t="n">
        <v>46308</v>
      </c>
      <c r="D7" s="10" t="n">
        <v>46342</v>
      </c>
      <c r="E7" s="11" t="n">
        <f aca="false">D7-C7+1</f>
        <v>35</v>
      </c>
      <c r="F7" s="11" t="n">
        <f aca="false">ROUND(E7/7,1)</f>
        <v>5</v>
      </c>
      <c r="G7" s="7"/>
    </row>
    <row r="8" customFormat="false" ht="15" hidden="false" customHeight="false" outlineLevel="0" collapsed="false">
      <c r="A8" s="9" t="s">
        <v>70</v>
      </c>
      <c r="B8" s="7" t="s">
        <v>71</v>
      </c>
      <c r="C8" s="10" t="n">
        <v>46308</v>
      </c>
      <c r="D8" s="10" t="n">
        <v>46335</v>
      </c>
      <c r="E8" s="11" t="n">
        <f aca="false">D8-C8+1</f>
        <v>28</v>
      </c>
      <c r="F8" s="11" t="n">
        <f aca="false">ROUND(E8/7,1)</f>
        <v>4</v>
      </c>
      <c r="G8" s="7"/>
    </row>
    <row r="9" customFormat="false" ht="15" hidden="false" customHeight="false" outlineLevel="0" collapsed="false">
      <c r="A9" s="9" t="s">
        <v>72</v>
      </c>
      <c r="B9" s="7" t="s">
        <v>73</v>
      </c>
      <c r="C9" s="10" t="n">
        <v>46308</v>
      </c>
      <c r="D9" s="10" t="n">
        <v>46349</v>
      </c>
      <c r="E9" s="11" t="n">
        <f aca="false">D9-C9+1</f>
        <v>42</v>
      </c>
      <c r="F9" s="11" t="n">
        <f aca="false">ROUND(E9/7,1)</f>
        <v>6</v>
      </c>
      <c r="G9" s="7"/>
    </row>
    <row r="10" customFormat="false" ht="15" hidden="false" customHeight="false" outlineLevel="0" collapsed="false">
      <c r="A10" s="9" t="s">
        <v>74</v>
      </c>
      <c r="B10" s="7" t="s">
        <v>75</v>
      </c>
      <c r="C10" s="10" t="n">
        <v>46322</v>
      </c>
      <c r="D10" s="10" t="n">
        <v>46363</v>
      </c>
      <c r="E10" s="11" t="n">
        <f aca="false">D10-C10+1</f>
        <v>42</v>
      </c>
      <c r="F10" s="11" t="n">
        <f aca="false">ROUND(E10/7,1)</f>
        <v>6</v>
      </c>
      <c r="G10" s="7" t="s">
        <v>76</v>
      </c>
    </row>
    <row r="11" customFormat="false" ht="23.85" hidden="false" customHeight="false" outlineLevel="0" collapsed="false">
      <c r="A11" s="9" t="s">
        <v>77</v>
      </c>
      <c r="B11" s="7" t="s">
        <v>78</v>
      </c>
      <c r="C11" s="10" t="n">
        <v>46336</v>
      </c>
      <c r="D11" s="10" t="n">
        <v>46363</v>
      </c>
      <c r="E11" s="11" t="n">
        <f aca="false">D11-C11+1</f>
        <v>28</v>
      </c>
      <c r="F11" s="11" t="n">
        <f aca="false">ROUND(E11/7,1)</f>
        <v>4</v>
      </c>
      <c r="G11" s="7" t="s">
        <v>79</v>
      </c>
    </row>
    <row r="12" customFormat="false" ht="15" hidden="false" customHeight="false" outlineLevel="0" collapsed="false">
      <c r="A12" s="12" t="s">
        <v>80</v>
      </c>
      <c r="B12" s="13" t="s">
        <v>81</v>
      </c>
      <c r="C12" s="14" t="n">
        <v>46350</v>
      </c>
      <c r="D12" s="14" t="n">
        <v>46391</v>
      </c>
      <c r="E12" s="15" t="n">
        <f aca="false">D12-C12+1</f>
        <v>42</v>
      </c>
      <c r="F12" s="15" t="n">
        <f aca="false">ROUND(E12/7,1)</f>
        <v>6</v>
      </c>
      <c r="G12" s="13" t="s">
        <v>82</v>
      </c>
    </row>
    <row r="13" customFormat="false" ht="15" hidden="false" customHeight="false" outlineLevel="0" collapsed="false">
      <c r="A13" s="9" t="s">
        <v>83</v>
      </c>
      <c r="B13" s="7" t="s">
        <v>84</v>
      </c>
      <c r="C13" s="10" t="n">
        <v>46392</v>
      </c>
      <c r="D13" s="10" t="n">
        <v>46412</v>
      </c>
      <c r="E13" s="11" t="n">
        <f aca="false">D13-C13+1</f>
        <v>21</v>
      </c>
      <c r="F13" s="11" t="n">
        <f aca="false">ROUND(E13/7,1)</f>
        <v>3</v>
      </c>
      <c r="G13" s="7"/>
    </row>
    <row r="14" customFormat="false" ht="15" hidden="false" customHeight="false" outlineLevel="0" collapsed="false">
      <c r="A14" s="9" t="s">
        <v>85</v>
      </c>
      <c r="B14" s="7" t="s">
        <v>86</v>
      </c>
      <c r="C14" s="10" t="n">
        <v>46413</v>
      </c>
      <c r="D14" s="10" t="n">
        <v>46433</v>
      </c>
      <c r="E14" s="11" t="n">
        <f aca="false">D14-C14+1</f>
        <v>21</v>
      </c>
      <c r="F14" s="11" t="n">
        <f aca="false">ROUND(E14/7,1)</f>
        <v>3</v>
      </c>
      <c r="G14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2"/>
    <col collapsed="false" customWidth="true" hidden="false" outlineLevel="0" max="3" min="3" style="0" width="24"/>
    <col collapsed="false" customWidth="true" hidden="false" outlineLevel="0" max="5" min="4" style="0" width="12"/>
    <col collapsed="false" customWidth="true" hidden="false" outlineLevel="0" max="7" min="6" style="0" width="14"/>
  </cols>
  <sheetData>
    <row r="1" customFormat="false" ht="26.85" hidden="false" customHeight="false" outlineLevel="0" collapsed="false">
      <c r="A1" s="6" t="s">
        <v>87</v>
      </c>
      <c r="B1" s="6" t="s">
        <v>88</v>
      </c>
      <c r="C1" s="6" t="s">
        <v>89</v>
      </c>
      <c r="D1" s="6" t="s">
        <v>51</v>
      </c>
      <c r="E1" s="6" t="s">
        <v>52</v>
      </c>
      <c r="F1" s="6" t="s">
        <v>53</v>
      </c>
      <c r="G1" s="6" t="s">
        <v>90</v>
      </c>
    </row>
    <row r="2" customFormat="false" ht="23.85" hidden="false" customHeight="false" outlineLevel="0" collapsed="false">
      <c r="A2" s="16" t="s">
        <v>91</v>
      </c>
      <c r="B2" s="8" t="s">
        <v>92</v>
      </c>
      <c r="C2" s="16" t="s">
        <v>93</v>
      </c>
      <c r="D2" s="17" t="n">
        <v>46266</v>
      </c>
      <c r="E2" s="17" t="n">
        <v>46272</v>
      </c>
      <c r="F2" s="18" t="n">
        <f aca="false">E2-D2+1</f>
        <v>7</v>
      </c>
      <c r="G2" s="16" t="s">
        <v>94</v>
      </c>
    </row>
    <row r="3" customFormat="false" ht="23.85" hidden="false" customHeight="false" outlineLevel="0" collapsed="false">
      <c r="A3" s="16" t="s">
        <v>91</v>
      </c>
      <c r="B3" s="8" t="s">
        <v>95</v>
      </c>
      <c r="C3" s="16" t="s">
        <v>96</v>
      </c>
      <c r="D3" s="17" t="n">
        <v>46266</v>
      </c>
      <c r="E3" s="17" t="n">
        <v>46279</v>
      </c>
      <c r="F3" s="18" t="n">
        <f aca="false">E3-D3+1</f>
        <v>14</v>
      </c>
      <c r="G3" s="16" t="s">
        <v>94</v>
      </c>
    </row>
    <row r="4" customFormat="false" ht="15" hidden="false" customHeight="false" outlineLevel="0" collapsed="false">
      <c r="A4" s="16" t="s">
        <v>91</v>
      </c>
      <c r="B4" s="8" t="s">
        <v>97</v>
      </c>
      <c r="C4" s="16" t="s">
        <v>98</v>
      </c>
      <c r="D4" s="17" t="n">
        <v>46273</v>
      </c>
      <c r="E4" s="17" t="n">
        <v>46279</v>
      </c>
      <c r="F4" s="18" t="n">
        <f aca="false">E4-D4+1</f>
        <v>7</v>
      </c>
      <c r="G4" s="16" t="s">
        <v>94</v>
      </c>
    </row>
    <row r="5" customFormat="false" ht="15" hidden="false" customHeight="false" outlineLevel="0" collapsed="false">
      <c r="A5" s="16" t="s">
        <v>91</v>
      </c>
      <c r="B5" s="8" t="s">
        <v>99</v>
      </c>
      <c r="C5" s="16" t="s">
        <v>98</v>
      </c>
      <c r="D5" s="17" t="n">
        <v>46273</v>
      </c>
      <c r="E5" s="17" t="n">
        <v>46279</v>
      </c>
      <c r="F5" s="18" t="n">
        <f aca="false">E5-D5+1</f>
        <v>7</v>
      </c>
      <c r="G5" s="16" t="s">
        <v>94</v>
      </c>
    </row>
    <row r="6" customFormat="false" ht="15" hidden="false" customHeight="false" outlineLevel="0" collapsed="false">
      <c r="A6" s="16" t="s">
        <v>91</v>
      </c>
      <c r="B6" s="8" t="s">
        <v>100</v>
      </c>
      <c r="C6" s="16" t="s">
        <v>98</v>
      </c>
      <c r="D6" s="17" t="n">
        <v>46273</v>
      </c>
      <c r="E6" s="17" t="n">
        <v>46286</v>
      </c>
      <c r="F6" s="18" t="n">
        <f aca="false">E6-D6+1</f>
        <v>14</v>
      </c>
      <c r="G6" s="16" t="s">
        <v>94</v>
      </c>
    </row>
    <row r="7" customFormat="false" ht="15" hidden="false" customHeight="false" outlineLevel="0" collapsed="false">
      <c r="A7" s="16" t="s">
        <v>91</v>
      </c>
      <c r="B7" s="8" t="s">
        <v>101</v>
      </c>
      <c r="C7" s="16" t="s">
        <v>98</v>
      </c>
      <c r="D7" s="17" t="n">
        <v>46280</v>
      </c>
      <c r="E7" s="17" t="n">
        <v>46286</v>
      </c>
      <c r="F7" s="18" t="n">
        <f aca="false">E7-D7+1</f>
        <v>7</v>
      </c>
      <c r="G7" s="16" t="s">
        <v>94</v>
      </c>
    </row>
    <row r="8" customFormat="false" ht="15" hidden="false" customHeight="false" outlineLevel="0" collapsed="false">
      <c r="A8" s="16" t="s">
        <v>91</v>
      </c>
      <c r="B8" s="8" t="s">
        <v>102</v>
      </c>
      <c r="C8" s="16" t="s">
        <v>98</v>
      </c>
      <c r="D8" s="17" t="n">
        <v>46280</v>
      </c>
      <c r="E8" s="17" t="n">
        <v>46286</v>
      </c>
      <c r="F8" s="18" t="n">
        <f aca="false">E8-D8+1</f>
        <v>7</v>
      </c>
      <c r="G8" s="16" t="s">
        <v>94</v>
      </c>
    </row>
    <row r="9" customFormat="false" ht="15" hidden="false" customHeight="false" outlineLevel="0" collapsed="false">
      <c r="A9" s="16" t="s">
        <v>91</v>
      </c>
      <c r="B9" s="8" t="s">
        <v>103</v>
      </c>
      <c r="C9" s="16" t="s">
        <v>104</v>
      </c>
      <c r="D9" s="17" t="n">
        <v>46280</v>
      </c>
      <c r="E9" s="17" t="n">
        <v>46293</v>
      </c>
      <c r="F9" s="18" t="n">
        <f aca="false">E9-D9+1</f>
        <v>14</v>
      </c>
      <c r="G9" s="16" t="s">
        <v>94</v>
      </c>
    </row>
    <row r="10" customFormat="false" ht="15" hidden="false" customHeight="false" outlineLevel="0" collapsed="false">
      <c r="A10" s="16" t="s">
        <v>91</v>
      </c>
      <c r="B10" s="8" t="s">
        <v>105</v>
      </c>
      <c r="C10" s="16" t="s">
        <v>106</v>
      </c>
      <c r="D10" s="17" t="n">
        <v>46280</v>
      </c>
      <c r="E10" s="17" t="n">
        <v>46293</v>
      </c>
      <c r="F10" s="18" t="n">
        <f aca="false">E10-D10+1</f>
        <v>14</v>
      </c>
      <c r="G10" s="16" t="s">
        <v>94</v>
      </c>
    </row>
    <row r="11" customFormat="false" ht="15" hidden="false" customHeight="false" outlineLevel="0" collapsed="false">
      <c r="A11" s="16" t="s">
        <v>91</v>
      </c>
      <c r="B11" s="8" t="s">
        <v>107</v>
      </c>
      <c r="C11" s="16" t="s">
        <v>108</v>
      </c>
      <c r="D11" s="17" t="n">
        <v>46266</v>
      </c>
      <c r="E11" s="17" t="n">
        <v>46279</v>
      </c>
      <c r="F11" s="18" t="n">
        <f aca="false">E11-D11+1</f>
        <v>14</v>
      </c>
      <c r="G11" s="16" t="s">
        <v>94</v>
      </c>
    </row>
    <row r="12" customFormat="false" ht="23.85" hidden="false" customHeight="false" outlineLevel="0" collapsed="false">
      <c r="A12" s="16" t="s">
        <v>91</v>
      </c>
      <c r="B12" s="8" t="s">
        <v>109</v>
      </c>
      <c r="C12" s="16" t="s">
        <v>110</v>
      </c>
      <c r="D12" s="17" t="n">
        <v>46280</v>
      </c>
      <c r="E12" s="17" t="n">
        <v>46293</v>
      </c>
      <c r="F12" s="18" t="n">
        <f aca="false">E12-D12+1</f>
        <v>14</v>
      </c>
      <c r="G12" s="16" t="s">
        <v>94</v>
      </c>
    </row>
    <row r="13" customFormat="false" ht="23.85" hidden="false" customHeight="false" outlineLevel="0" collapsed="false">
      <c r="A13" s="16" t="s">
        <v>91</v>
      </c>
      <c r="B13" s="8" t="s">
        <v>111</v>
      </c>
      <c r="C13" s="16" t="s">
        <v>112</v>
      </c>
      <c r="D13" s="17" t="n">
        <v>46280</v>
      </c>
      <c r="E13" s="17" t="n">
        <v>46293</v>
      </c>
      <c r="F13" s="18" t="n">
        <f aca="false">E13-D13+1</f>
        <v>14</v>
      </c>
      <c r="G13" s="16" t="s">
        <v>94</v>
      </c>
    </row>
    <row r="14" customFormat="false" ht="15" hidden="false" customHeight="false" outlineLevel="0" collapsed="false">
      <c r="A14" s="16" t="s">
        <v>91</v>
      </c>
      <c r="B14" s="8" t="s">
        <v>113</v>
      </c>
      <c r="C14" s="16" t="s">
        <v>108</v>
      </c>
      <c r="D14" s="17" t="n">
        <v>46287</v>
      </c>
      <c r="E14" s="17" t="n">
        <v>46293</v>
      </c>
      <c r="F14" s="18" t="n">
        <f aca="false">E14-D14+1</f>
        <v>7</v>
      </c>
      <c r="G14" s="16" t="s">
        <v>94</v>
      </c>
    </row>
    <row r="15" customFormat="false" ht="15" hidden="false" customHeight="false" outlineLevel="0" collapsed="false">
      <c r="A15" s="9" t="s">
        <v>114</v>
      </c>
      <c r="B15" s="7" t="s">
        <v>115</v>
      </c>
      <c r="C15" s="9" t="s">
        <v>108</v>
      </c>
      <c r="D15" s="10" t="n">
        <v>46294</v>
      </c>
      <c r="E15" s="10" t="n">
        <v>46307</v>
      </c>
      <c r="F15" s="11" t="n">
        <f aca="false">E15-D15+1</f>
        <v>14</v>
      </c>
      <c r="G15" s="9" t="s">
        <v>94</v>
      </c>
    </row>
    <row r="16" customFormat="false" ht="15" hidden="false" customHeight="false" outlineLevel="0" collapsed="false">
      <c r="A16" s="9" t="s">
        <v>114</v>
      </c>
      <c r="B16" s="7" t="s">
        <v>116</v>
      </c>
      <c r="C16" s="9" t="s">
        <v>93</v>
      </c>
      <c r="D16" s="10" t="n">
        <v>46301</v>
      </c>
      <c r="E16" s="10" t="n">
        <v>46314</v>
      </c>
      <c r="F16" s="11" t="n">
        <f aca="false">E16-D16+1</f>
        <v>14</v>
      </c>
      <c r="G16" s="9" t="s">
        <v>94</v>
      </c>
    </row>
    <row r="17" customFormat="false" ht="23.85" hidden="false" customHeight="false" outlineLevel="0" collapsed="false">
      <c r="A17" s="9" t="s">
        <v>114</v>
      </c>
      <c r="B17" s="7" t="s">
        <v>117</v>
      </c>
      <c r="C17" s="9" t="s">
        <v>93</v>
      </c>
      <c r="D17" s="10" t="n">
        <v>46308</v>
      </c>
      <c r="E17" s="10" t="n">
        <v>46314</v>
      </c>
      <c r="F17" s="11" t="n">
        <f aca="false">E17-D17+1</f>
        <v>7</v>
      </c>
      <c r="G17" s="9" t="s">
        <v>94</v>
      </c>
    </row>
    <row r="18" customFormat="false" ht="15" hidden="false" customHeight="false" outlineLevel="0" collapsed="false">
      <c r="A18" s="9" t="s">
        <v>114</v>
      </c>
      <c r="B18" s="7" t="s">
        <v>118</v>
      </c>
      <c r="C18" s="9" t="s">
        <v>98</v>
      </c>
      <c r="D18" s="10" t="n">
        <v>46315</v>
      </c>
      <c r="E18" s="10" t="n">
        <v>46321</v>
      </c>
      <c r="F18" s="11" t="n">
        <f aca="false">E18-D18+1</f>
        <v>7</v>
      </c>
      <c r="G18" s="9" t="s">
        <v>94</v>
      </c>
    </row>
    <row r="19" customFormat="false" ht="15" hidden="false" customHeight="false" outlineLevel="0" collapsed="false">
      <c r="A19" s="9" t="s">
        <v>114</v>
      </c>
      <c r="B19" s="7" t="s">
        <v>119</v>
      </c>
      <c r="C19" s="9" t="s">
        <v>93</v>
      </c>
      <c r="D19" s="10" t="n">
        <v>46315</v>
      </c>
      <c r="E19" s="10" t="n">
        <v>46328</v>
      </c>
      <c r="F19" s="11" t="n">
        <f aca="false">E19-D19+1</f>
        <v>14</v>
      </c>
      <c r="G19" s="9" t="s">
        <v>94</v>
      </c>
    </row>
    <row r="20" customFormat="false" ht="15" hidden="false" customHeight="false" outlineLevel="0" collapsed="false">
      <c r="A20" s="16" t="s">
        <v>120</v>
      </c>
      <c r="B20" s="8" t="s">
        <v>121</v>
      </c>
      <c r="C20" s="16" t="s">
        <v>122</v>
      </c>
      <c r="D20" s="17" t="n">
        <v>46294</v>
      </c>
      <c r="E20" s="17" t="n">
        <v>46307</v>
      </c>
      <c r="F20" s="18" t="n">
        <f aca="false">E20-D20+1</f>
        <v>14</v>
      </c>
      <c r="G20" s="16" t="s">
        <v>94</v>
      </c>
    </row>
    <row r="21" customFormat="false" ht="15" hidden="false" customHeight="false" outlineLevel="0" collapsed="false">
      <c r="A21" s="16" t="s">
        <v>120</v>
      </c>
      <c r="B21" s="8" t="s">
        <v>123</v>
      </c>
      <c r="C21" s="16" t="s">
        <v>98</v>
      </c>
      <c r="D21" s="17" t="n">
        <v>46308</v>
      </c>
      <c r="E21" s="17" t="n">
        <v>46314</v>
      </c>
      <c r="F21" s="18" t="n">
        <f aca="false">E21-D21+1</f>
        <v>7</v>
      </c>
      <c r="G21" s="16" t="s">
        <v>94</v>
      </c>
    </row>
    <row r="22" customFormat="false" ht="15" hidden="false" customHeight="false" outlineLevel="0" collapsed="false">
      <c r="A22" s="16" t="s">
        <v>120</v>
      </c>
      <c r="B22" s="8" t="s">
        <v>124</v>
      </c>
      <c r="C22" s="16" t="s">
        <v>98</v>
      </c>
      <c r="D22" s="17" t="n">
        <v>46315</v>
      </c>
      <c r="E22" s="17" t="n">
        <v>46321</v>
      </c>
      <c r="F22" s="18" t="n">
        <f aca="false">E22-D22+1</f>
        <v>7</v>
      </c>
      <c r="G22" s="16" t="s">
        <v>94</v>
      </c>
    </row>
    <row r="23" customFormat="false" ht="15" hidden="false" customHeight="false" outlineLevel="0" collapsed="false">
      <c r="A23" s="16" t="s">
        <v>120</v>
      </c>
      <c r="B23" s="8" t="s">
        <v>125</v>
      </c>
      <c r="C23" s="16" t="s">
        <v>93</v>
      </c>
      <c r="D23" s="17" t="n">
        <v>46322</v>
      </c>
      <c r="E23" s="17" t="n">
        <v>46328</v>
      </c>
      <c r="F23" s="18" t="n">
        <f aca="false">E23-D23+1</f>
        <v>7</v>
      </c>
      <c r="G23" s="16" t="s">
        <v>94</v>
      </c>
    </row>
    <row r="24" customFormat="false" ht="15" hidden="false" customHeight="false" outlineLevel="0" collapsed="false">
      <c r="A24" s="16" t="s">
        <v>120</v>
      </c>
      <c r="B24" s="8" t="s">
        <v>126</v>
      </c>
      <c r="C24" s="16" t="s">
        <v>108</v>
      </c>
      <c r="D24" s="17" t="n">
        <v>46322</v>
      </c>
      <c r="E24" s="17" t="n">
        <v>46328</v>
      </c>
      <c r="F24" s="18" t="n">
        <f aca="false">E24-D24+1</f>
        <v>7</v>
      </c>
      <c r="G24" s="16" t="s">
        <v>94</v>
      </c>
    </row>
    <row r="25" customFormat="false" ht="15" hidden="false" customHeight="false" outlineLevel="0" collapsed="false">
      <c r="A25" s="9" t="s">
        <v>127</v>
      </c>
      <c r="B25" s="7" t="s">
        <v>128</v>
      </c>
      <c r="C25" s="9" t="s">
        <v>129</v>
      </c>
      <c r="D25" s="10" t="n">
        <v>46301</v>
      </c>
      <c r="E25" s="10" t="n">
        <v>46307</v>
      </c>
      <c r="F25" s="11" t="n">
        <f aca="false">E25-D25+1</f>
        <v>7</v>
      </c>
      <c r="G25" s="9" t="s">
        <v>94</v>
      </c>
    </row>
    <row r="26" customFormat="false" ht="15" hidden="false" customHeight="false" outlineLevel="0" collapsed="false">
      <c r="A26" s="9" t="s">
        <v>127</v>
      </c>
      <c r="B26" s="7" t="s">
        <v>130</v>
      </c>
      <c r="C26" s="9" t="s">
        <v>106</v>
      </c>
      <c r="D26" s="10" t="n">
        <v>46308</v>
      </c>
      <c r="E26" s="10" t="n">
        <v>46314</v>
      </c>
      <c r="F26" s="11" t="n">
        <f aca="false">E26-D26+1</f>
        <v>7</v>
      </c>
      <c r="G26" s="9" t="s">
        <v>94</v>
      </c>
    </row>
    <row r="27" customFormat="false" ht="15" hidden="false" customHeight="false" outlineLevel="0" collapsed="false">
      <c r="A27" s="9" t="s">
        <v>127</v>
      </c>
      <c r="B27" s="7" t="s">
        <v>131</v>
      </c>
      <c r="C27" s="9" t="s">
        <v>129</v>
      </c>
      <c r="D27" s="10" t="n">
        <v>46315</v>
      </c>
      <c r="E27" s="10" t="n">
        <v>46328</v>
      </c>
      <c r="F27" s="11" t="n">
        <f aca="false">E27-D27+1</f>
        <v>14</v>
      </c>
      <c r="G27" s="9" t="s">
        <v>94</v>
      </c>
    </row>
    <row r="28" customFormat="false" ht="15" hidden="false" customHeight="false" outlineLevel="0" collapsed="false">
      <c r="A28" s="9" t="s">
        <v>127</v>
      </c>
      <c r="B28" s="7" t="s">
        <v>132</v>
      </c>
      <c r="C28" s="9" t="s">
        <v>93</v>
      </c>
      <c r="D28" s="10" t="n">
        <v>46322</v>
      </c>
      <c r="E28" s="10" t="n">
        <v>46335</v>
      </c>
      <c r="F28" s="11" t="n">
        <f aca="false">E28-D28+1</f>
        <v>14</v>
      </c>
      <c r="G28" s="9" t="s">
        <v>94</v>
      </c>
    </row>
    <row r="29" customFormat="false" ht="15" hidden="false" customHeight="false" outlineLevel="0" collapsed="false">
      <c r="A29" s="9" t="s">
        <v>127</v>
      </c>
      <c r="B29" s="7" t="s">
        <v>133</v>
      </c>
      <c r="C29" s="9" t="s">
        <v>134</v>
      </c>
      <c r="D29" s="10" t="n">
        <v>46329</v>
      </c>
      <c r="E29" s="10" t="n">
        <v>46335</v>
      </c>
      <c r="F29" s="11" t="n">
        <f aca="false">E29-D29+1</f>
        <v>7</v>
      </c>
      <c r="G29" s="9" t="s">
        <v>94</v>
      </c>
    </row>
    <row r="30" customFormat="false" ht="15" hidden="false" customHeight="false" outlineLevel="0" collapsed="false">
      <c r="A30" s="16" t="s">
        <v>135</v>
      </c>
      <c r="B30" s="8" t="s">
        <v>136</v>
      </c>
      <c r="C30" s="16" t="s">
        <v>98</v>
      </c>
      <c r="D30" s="17" t="n">
        <v>46308</v>
      </c>
      <c r="E30" s="17" t="n">
        <v>46314</v>
      </c>
      <c r="F30" s="18" t="n">
        <f aca="false">E30-D30+1</f>
        <v>7</v>
      </c>
      <c r="G30" s="16" t="s">
        <v>94</v>
      </c>
    </row>
    <row r="31" customFormat="false" ht="15" hidden="false" customHeight="false" outlineLevel="0" collapsed="false">
      <c r="A31" s="16" t="s">
        <v>135</v>
      </c>
      <c r="B31" s="8" t="s">
        <v>137</v>
      </c>
      <c r="C31" s="16" t="s">
        <v>98</v>
      </c>
      <c r="D31" s="17" t="n">
        <v>46315</v>
      </c>
      <c r="E31" s="17" t="n">
        <v>46321</v>
      </c>
      <c r="F31" s="18" t="n">
        <f aca="false">E31-D31+1</f>
        <v>7</v>
      </c>
      <c r="G31" s="16" t="s">
        <v>94</v>
      </c>
    </row>
    <row r="32" customFormat="false" ht="15" hidden="false" customHeight="false" outlineLevel="0" collapsed="false">
      <c r="A32" s="16" t="s">
        <v>135</v>
      </c>
      <c r="B32" s="8" t="s">
        <v>138</v>
      </c>
      <c r="C32" s="16" t="s">
        <v>93</v>
      </c>
      <c r="D32" s="17" t="n">
        <v>46322</v>
      </c>
      <c r="E32" s="17" t="n">
        <v>46328</v>
      </c>
      <c r="F32" s="18" t="n">
        <f aca="false">E32-D32+1</f>
        <v>7</v>
      </c>
      <c r="G32" s="16" t="s">
        <v>94</v>
      </c>
    </row>
    <row r="33" customFormat="false" ht="15" hidden="false" customHeight="false" outlineLevel="0" collapsed="false">
      <c r="A33" s="16" t="s">
        <v>135</v>
      </c>
      <c r="B33" s="8" t="s">
        <v>139</v>
      </c>
      <c r="C33" s="16" t="s">
        <v>93</v>
      </c>
      <c r="D33" s="17" t="n">
        <v>46329</v>
      </c>
      <c r="E33" s="17" t="n">
        <v>46335</v>
      </c>
      <c r="F33" s="18" t="n">
        <f aca="false">E33-D33+1</f>
        <v>7</v>
      </c>
      <c r="G33" s="16" t="s">
        <v>94</v>
      </c>
    </row>
    <row r="34" customFormat="false" ht="15" hidden="false" customHeight="false" outlineLevel="0" collapsed="false">
      <c r="A34" s="16" t="s">
        <v>135</v>
      </c>
      <c r="B34" s="8" t="s">
        <v>140</v>
      </c>
      <c r="C34" s="16" t="s">
        <v>93</v>
      </c>
      <c r="D34" s="17" t="n">
        <v>46336</v>
      </c>
      <c r="E34" s="17" t="n">
        <v>46342</v>
      </c>
      <c r="F34" s="18" t="n">
        <f aca="false">E34-D34+1</f>
        <v>7</v>
      </c>
      <c r="G34" s="16" t="s">
        <v>94</v>
      </c>
    </row>
    <row r="35" customFormat="false" ht="15" hidden="false" customHeight="false" outlineLevel="0" collapsed="false">
      <c r="A35" s="9" t="s">
        <v>141</v>
      </c>
      <c r="B35" s="7" t="s">
        <v>142</v>
      </c>
      <c r="C35" s="9" t="s">
        <v>98</v>
      </c>
      <c r="D35" s="10" t="n">
        <v>46308</v>
      </c>
      <c r="E35" s="10" t="n">
        <v>46314</v>
      </c>
      <c r="F35" s="11" t="n">
        <f aca="false">E35-D35+1</f>
        <v>7</v>
      </c>
      <c r="G35" s="9" t="s">
        <v>94</v>
      </c>
    </row>
    <row r="36" customFormat="false" ht="15" hidden="false" customHeight="false" outlineLevel="0" collapsed="false">
      <c r="A36" s="9" t="s">
        <v>141</v>
      </c>
      <c r="B36" s="7" t="s">
        <v>143</v>
      </c>
      <c r="C36" s="9" t="s">
        <v>98</v>
      </c>
      <c r="D36" s="10" t="n">
        <v>46315</v>
      </c>
      <c r="E36" s="10" t="n">
        <v>46321</v>
      </c>
      <c r="F36" s="11" t="n">
        <f aca="false">E36-D36+1</f>
        <v>7</v>
      </c>
      <c r="G36" s="9" t="s">
        <v>94</v>
      </c>
    </row>
    <row r="37" customFormat="false" ht="15" hidden="false" customHeight="false" outlineLevel="0" collapsed="false">
      <c r="A37" s="9" t="s">
        <v>141</v>
      </c>
      <c r="B37" s="7" t="s">
        <v>144</v>
      </c>
      <c r="C37" s="9" t="s">
        <v>98</v>
      </c>
      <c r="D37" s="10" t="n">
        <v>46315</v>
      </c>
      <c r="E37" s="10" t="n">
        <v>46321</v>
      </c>
      <c r="F37" s="11" t="n">
        <f aca="false">E37-D37+1</f>
        <v>7</v>
      </c>
      <c r="G37" s="9" t="s">
        <v>94</v>
      </c>
    </row>
    <row r="38" customFormat="false" ht="15" hidden="false" customHeight="false" outlineLevel="0" collapsed="false">
      <c r="A38" s="9" t="s">
        <v>141</v>
      </c>
      <c r="B38" s="7" t="s">
        <v>145</v>
      </c>
      <c r="C38" s="9" t="s">
        <v>93</v>
      </c>
      <c r="D38" s="10" t="n">
        <v>46322</v>
      </c>
      <c r="E38" s="10" t="n">
        <v>46335</v>
      </c>
      <c r="F38" s="11" t="n">
        <f aca="false">E38-D38+1</f>
        <v>14</v>
      </c>
      <c r="G38" s="9" t="s">
        <v>94</v>
      </c>
    </row>
    <row r="39" customFormat="false" ht="15" hidden="false" customHeight="false" outlineLevel="0" collapsed="false">
      <c r="A39" s="9" t="s">
        <v>141</v>
      </c>
      <c r="B39" s="7" t="s">
        <v>146</v>
      </c>
      <c r="C39" s="9" t="s">
        <v>93</v>
      </c>
      <c r="D39" s="10" t="n">
        <v>46336</v>
      </c>
      <c r="E39" s="10" t="n">
        <v>46342</v>
      </c>
      <c r="F39" s="11" t="n">
        <f aca="false">E39-D39+1</f>
        <v>7</v>
      </c>
      <c r="G39" s="9" t="s">
        <v>94</v>
      </c>
    </row>
    <row r="40" customFormat="false" ht="15" hidden="false" customHeight="false" outlineLevel="0" collapsed="false">
      <c r="A40" s="16" t="s">
        <v>147</v>
      </c>
      <c r="B40" s="8" t="s">
        <v>148</v>
      </c>
      <c r="C40" s="16" t="s">
        <v>93</v>
      </c>
      <c r="D40" s="17" t="n">
        <v>46308</v>
      </c>
      <c r="E40" s="17" t="n">
        <v>46314</v>
      </c>
      <c r="F40" s="18" t="n">
        <f aca="false">E40-D40+1</f>
        <v>7</v>
      </c>
      <c r="G40" s="16" t="s">
        <v>94</v>
      </c>
    </row>
    <row r="41" customFormat="false" ht="15" hidden="false" customHeight="false" outlineLevel="0" collapsed="false">
      <c r="A41" s="16" t="s">
        <v>147</v>
      </c>
      <c r="B41" s="8" t="s">
        <v>149</v>
      </c>
      <c r="C41" s="16" t="s">
        <v>98</v>
      </c>
      <c r="D41" s="17" t="n">
        <v>46315</v>
      </c>
      <c r="E41" s="17" t="n">
        <v>46321</v>
      </c>
      <c r="F41" s="18" t="n">
        <f aca="false">E41-D41+1</f>
        <v>7</v>
      </c>
      <c r="G41" s="16" t="s">
        <v>94</v>
      </c>
    </row>
    <row r="42" customFormat="false" ht="15" hidden="false" customHeight="false" outlineLevel="0" collapsed="false">
      <c r="A42" s="16" t="s">
        <v>147</v>
      </c>
      <c r="B42" s="8" t="s">
        <v>150</v>
      </c>
      <c r="C42" s="16" t="s">
        <v>108</v>
      </c>
      <c r="D42" s="17" t="n">
        <v>46322</v>
      </c>
      <c r="E42" s="17" t="n">
        <v>46328</v>
      </c>
      <c r="F42" s="18" t="n">
        <f aca="false">E42-D42+1</f>
        <v>7</v>
      </c>
      <c r="G42" s="16" t="s">
        <v>94</v>
      </c>
    </row>
    <row r="43" customFormat="false" ht="15" hidden="false" customHeight="false" outlineLevel="0" collapsed="false">
      <c r="A43" s="16" t="s">
        <v>147</v>
      </c>
      <c r="B43" s="8" t="s">
        <v>151</v>
      </c>
      <c r="C43" s="16" t="s">
        <v>93</v>
      </c>
      <c r="D43" s="17" t="n">
        <v>46329</v>
      </c>
      <c r="E43" s="17" t="n">
        <v>46335</v>
      </c>
      <c r="F43" s="18" t="n">
        <f aca="false">E43-D43+1</f>
        <v>7</v>
      </c>
      <c r="G43" s="16" t="s">
        <v>94</v>
      </c>
    </row>
    <row r="44" customFormat="false" ht="15" hidden="false" customHeight="false" outlineLevel="0" collapsed="false">
      <c r="A44" s="16" t="s">
        <v>147</v>
      </c>
      <c r="B44" s="8" t="s">
        <v>152</v>
      </c>
      <c r="C44" s="16" t="s">
        <v>98</v>
      </c>
      <c r="D44" s="17" t="n">
        <v>46329</v>
      </c>
      <c r="E44" s="17" t="n">
        <v>46335</v>
      </c>
      <c r="F44" s="18" t="n">
        <f aca="false">E44-D44+1</f>
        <v>7</v>
      </c>
      <c r="G44" s="16" t="s">
        <v>94</v>
      </c>
    </row>
    <row r="45" customFormat="false" ht="15" hidden="false" customHeight="false" outlineLevel="0" collapsed="false">
      <c r="A45" s="9" t="s">
        <v>153</v>
      </c>
      <c r="B45" s="7" t="s">
        <v>154</v>
      </c>
      <c r="C45" s="9" t="s">
        <v>98</v>
      </c>
      <c r="D45" s="10" t="n">
        <v>46308</v>
      </c>
      <c r="E45" s="10" t="n">
        <v>46314</v>
      </c>
      <c r="F45" s="11" t="n">
        <f aca="false">E45-D45+1</f>
        <v>7</v>
      </c>
      <c r="G45" s="9" t="s">
        <v>94</v>
      </c>
    </row>
    <row r="46" customFormat="false" ht="15" hidden="false" customHeight="false" outlineLevel="0" collapsed="false">
      <c r="A46" s="9" t="s">
        <v>153</v>
      </c>
      <c r="B46" s="7" t="s">
        <v>155</v>
      </c>
      <c r="C46" s="9" t="s">
        <v>98</v>
      </c>
      <c r="D46" s="10" t="n">
        <v>46315</v>
      </c>
      <c r="E46" s="10" t="n">
        <v>46328</v>
      </c>
      <c r="F46" s="11" t="n">
        <f aca="false">E46-D46+1</f>
        <v>14</v>
      </c>
      <c r="G46" s="9" t="s">
        <v>94</v>
      </c>
    </row>
    <row r="47" customFormat="false" ht="15" hidden="false" customHeight="false" outlineLevel="0" collapsed="false">
      <c r="A47" s="9" t="s">
        <v>153</v>
      </c>
      <c r="B47" s="7" t="s">
        <v>156</v>
      </c>
      <c r="C47" s="9" t="s">
        <v>157</v>
      </c>
      <c r="D47" s="10" t="n">
        <v>46322</v>
      </c>
      <c r="E47" s="10" t="n">
        <v>46328</v>
      </c>
      <c r="F47" s="11" t="n">
        <f aca="false">E47-D47+1</f>
        <v>7</v>
      </c>
      <c r="G47" s="9" t="s">
        <v>94</v>
      </c>
    </row>
    <row r="48" customFormat="false" ht="15" hidden="false" customHeight="false" outlineLevel="0" collapsed="false">
      <c r="A48" s="9" t="s">
        <v>153</v>
      </c>
      <c r="B48" s="7" t="s">
        <v>158</v>
      </c>
      <c r="C48" s="9" t="s">
        <v>93</v>
      </c>
      <c r="D48" s="10" t="n">
        <v>46329</v>
      </c>
      <c r="E48" s="10" t="n">
        <v>46335</v>
      </c>
      <c r="F48" s="11" t="n">
        <f aca="false">E48-D48+1</f>
        <v>7</v>
      </c>
      <c r="G48" s="9" t="s">
        <v>94</v>
      </c>
    </row>
    <row r="49" customFormat="false" ht="15" hidden="false" customHeight="false" outlineLevel="0" collapsed="false">
      <c r="A49" s="9" t="s">
        <v>153</v>
      </c>
      <c r="B49" s="7" t="s">
        <v>159</v>
      </c>
      <c r="C49" s="9" t="s">
        <v>98</v>
      </c>
      <c r="D49" s="10" t="n">
        <v>46336</v>
      </c>
      <c r="E49" s="10" t="n">
        <v>46342</v>
      </c>
      <c r="F49" s="11" t="n">
        <f aca="false">E49-D49+1</f>
        <v>7</v>
      </c>
      <c r="G49" s="9" t="s">
        <v>94</v>
      </c>
    </row>
    <row r="50" customFormat="false" ht="15" hidden="false" customHeight="false" outlineLevel="0" collapsed="false">
      <c r="A50" s="9" t="s">
        <v>153</v>
      </c>
      <c r="B50" s="7" t="s">
        <v>160</v>
      </c>
      <c r="C50" s="9" t="s">
        <v>93</v>
      </c>
      <c r="D50" s="10" t="n">
        <v>46343</v>
      </c>
      <c r="E50" s="10" t="n">
        <v>46349</v>
      </c>
      <c r="F50" s="11" t="n">
        <f aca="false">E50-D50+1</f>
        <v>7</v>
      </c>
      <c r="G50" s="9" t="s">
        <v>94</v>
      </c>
    </row>
    <row r="51" customFormat="false" ht="15" hidden="false" customHeight="false" outlineLevel="0" collapsed="false">
      <c r="A51" s="16" t="s">
        <v>161</v>
      </c>
      <c r="B51" s="8" t="s">
        <v>162</v>
      </c>
      <c r="C51" s="16" t="s">
        <v>104</v>
      </c>
      <c r="D51" s="17" t="n">
        <v>46322</v>
      </c>
      <c r="E51" s="17" t="n">
        <v>46328</v>
      </c>
      <c r="F51" s="18" t="n">
        <f aca="false">E51-D51+1</f>
        <v>7</v>
      </c>
      <c r="G51" s="16" t="s">
        <v>94</v>
      </c>
    </row>
    <row r="52" customFormat="false" ht="15" hidden="false" customHeight="false" outlineLevel="0" collapsed="false">
      <c r="A52" s="16" t="s">
        <v>161</v>
      </c>
      <c r="B52" s="8" t="s">
        <v>163</v>
      </c>
      <c r="C52" s="16" t="s">
        <v>98</v>
      </c>
      <c r="D52" s="17" t="n">
        <v>46329</v>
      </c>
      <c r="E52" s="17" t="n">
        <v>46335</v>
      </c>
      <c r="F52" s="18" t="n">
        <f aca="false">E52-D52+1</f>
        <v>7</v>
      </c>
      <c r="G52" s="16" t="s">
        <v>94</v>
      </c>
    </row>
    <row r="53" customFormat="false" ht="15" hidden="false" customHeight="false" outlineLevel="0" collapsed="false">
      <c r="A53" s="16" t="s">
        <v>161</v>
      </c>
      <c r="B53" s="8" t="s">
        <v>164</v>
      </c>
      <c r="C53" s="16" t="s">
        <v>165</v>
      </c>
      <c r="D53" s="17" t="n">
        <v>46336</v>
      </c>
      <c r="E53" s="17" t="n">
        <v>46342</v>
      </c>
      <c r="F53" s="18" t="n">
        <f aca="false">E53-D53+1</f>
        <v>7</v>
      </c>
      <c r="G53" s="16" t="s">
        <v>94</v>
      </c>
    </row>
    <row r="54" customFormat="false" ht="15" hidden="false" customHeight="false" outlineLevel="0" collapsed="false">
      <c r="A54" s="16" t="s">
        <v>161</v>
      </c>
      <c r="B54" s="8" t="s">
        <v>166</v>
      </c>
      <c r="C54" s="16" t="s">
        <v>93</v>
      </c>
      <c r="D54" s="17" t="n">
        <v>46343</v>
      </c>
      <c r="E54" s="17" t="n">
        <v>46349</v>
      </c>
      <c r="F54" s="18" t="n">
        <f aca="false">E54-D54+1</f>
        <v>7</v>
      </c>
      <c r="G54" s="16" t="s">
        <v>94</v>
      </c>
    </row>
    <row r="55" customFormat="false" ht="15" hidden="false" customHeight="false" outlineLevel="0" collapsed="false">
      <c r="A55" s="16" t="s">
        <v>161</v>
      </c>
      <c r="B55" s="8" t="s">
        <v>167</v>
      </c>
      <c r="C55" s="16" t="s">
        <v>93</v>
      </c>
      <c r="D55" s="17" t="n">
        <v>46343</v>
      </c>
      <c r="E55" s="17" t="n">
        <v>46349</v>
      </c>
      <c r="F55" s="18" t="n">
        <f aca="false">E55-D55+1</f>
        <v>7</v>
      </c>
      <c r="G55" s="16" t="s">
        <v>94</v>
      </c>
    </row>
    <row r="56" customFormat="false" ht="15" hidden="false" customHeight="false" outlineLevel="0" collapsed="false">
      <c r="A56" s="16" t="s">
        <v>161</v>
      </c>
      <c r="B56" s="8" t="s">
        <v>168</v>
      </c>
      <c r="C56" s="16" t="s">
        <v>98</v>
      </c>
      <c r="D56" s="17" t="n">
        <v>46350</v>
      </c>
      <c r="E56" s="17" t="n">
        <v>46363</v>
      </c>
      <c r="F56" s="18" t="n">
        <f aca="false">E56-D56+1</f>
        <v>14</v>
      </c>
      <c r="G56" s="16" t="s">
        <v>94</v>
      </c>
    </row>
    <row r="57" customFormat="false" ht="23.85" hidden="false" customHeight="false" outlineLevel="0" collapsed="false">
      <c r="A57" s="9" t="s">
        <v>169</v>
      </c>
      <c r="B57" s="7" t="s">
        <v>170</v>
      </c>
      <c r="C57" s="9" t="s">
        <v>106</v>
      </c>
      <c r="D57" s="10" t="n">
        <v>46336</v>
      </c>
      <c r="E57" s="10" t="n">
        <v>46342</v>
      </c>
      <c r="F57" s="11" t="n">
        <f aca="false">E57-D57+1</f>
        <v>7</v>
      </c>
      <c r="G57" s="9" t="s">
        <v>94</v>
      </c>
    </row>
    <row r="58" customFormat="false" ht="23.85" hidden="false" customHeight="false" outlineLevel="0" collapsed="false">
      <c r="A58" s="9" t="s">
        <v>169</v>
      </c>
      <c r="B58" s="7" t="s">
        <v>171</v>
      </c>
      <c r="C58" s="9" t="s">
        <v>110</v>
      </c>
      <c r="D58" s="10" t="n">
        <v>46343</v>
      </c>
      <c r="E58" s="10" t="n">
        <v>46349</v>
      </c>
      <c r="F58" s="11" t="n">
        <f aca="false">E58-D58+1</f>
        <v>7</v>
      </c>
      <c r="G58" s="9" t="s">
        <v>94</v>
      </c>
    </row>
    <row r="59" customFormat="false" ht="23.85" hidden="false" customHeight="false" outlineLevel="0" collapsed="false">
      <c r="A59" s="9" t="s">
        <v>169</v>
      </c>
      <c r="B59" s="7" t="s">
        <v>172</v>
      </c>
      <c r="C59" s="9" t="s">
        <v>98</v>
      </c>
      <c r="D59" s="10" t="n">
        <v>46343</v>
      </c>
      <c r="E59" s="10" t="n">
        <v>46349</v>
      </c>
      <c r="F59" s="11" t="n">
        <f aca="false">E59-D59+1</f>
        <v>7</v>
      </c>
      <c r="G59" s="9" t="s">
        <v>94</v>
      </c>
    </row>
    <row r="60" customFormat="false" ht="23.85" hidden="false" customHeight="false" outlineLevel="0" collapsed="false">
      <c r="A60" s="9" t="s">
        <v>169</v>
      </c>
      <c r="B60" s="7" t="s">
        <v>173</v>
      </c>
      <c r="C60" s="9" t="s">
        <v>93</v>
      </c>
      <c r="D60" s="10" t="n">
        <v>46350</v>
      </c>
      <c r="E60" s="10" t="n">
        <v>46363</v>
      </c>
      <c r="F60" s="11" t="n">
        <f aca="false">E60-D60+1</f>
        <v>14</v>
      </c>
      <c r="G60" s="9" t="s">
        <v>94</v>
      </c>
    </row>
    <row r="61" customFormat="false" ht="23.85" hidden="false" customHeight="false" outlineLevel="0" collapsed="false">
      <c r="A61" s="9" t="s">
        <v>169</v>
      </c>
      <c r="B61" s="7" t="s">
        <v>174</v>
      </c>
      <c r="C61" s="9" t="s">
        <v>112</v>
      </c>
      <c r="D61" s="10" t="n">
        <v>46350</v>
      </c>
      <c r="E61" s="10" t="n">
        <v>46363</v>
      </c>
      <c r="F61" s="11" t="n">
        <f aca="false">E61-D61+1</f>
        <v>14</v>
      </c>
      <c r="G61" s="9" t="s">
        <v>94</v>
      </c>
    </row>
    <row r="62" customFormat="false" ht="15" hidden="false" customHeight="false" outlineLevel="0" collapsed="false">
      <c r="A62" s="16" t="s">
        <v>175</v>
      </c>
      <c r="B62" s="8" t="s">
        <v>176</v>
      </c>
      <c r="C62" s="16" t="s">
        <v>93</v>
      </c>
      <c r="D62" s="17" t="n">
        <v>46392</v>
      </c>
      <c r="E62" s="17" t="n">
        <v>46398</v>
      </c>
      <c r="F62" s="18" t="n">
        <f aca="false">E62-D62+1</f>
        <v>7</v>
      </c>
      <c r="G62" s="16" t="s">
        <v>94</v>
      </c>
    </row>
    <row r="63" customFormat="false" ht="15" hidden="false" customHeight="false" outlineLevel="0" collapsed="false">
      <c r="A63" s="16" t="s">
        <v>175</v>
      </c>
      <c r="B63" s="8" t="s">
        <v>177</v>
      </c>
      <c r="C63" s="16" t="s">
        <v>93</v>
      </c>
      <c r="D63" s="17" t="n">
        <v>46392</v>
      </c>
      <c r="E63" s="17" t="n">
        <v>46398</v>
      </c>
      <c r="F63" s="18" t="n">
        <f aca="false">E63-D63+1</f>
        <v>7</v>
      </c>
      <c r="G63" s="16" t="s">
        <v>94</v>
      </c>
    </row>
    <row r="64" customFormat="false" ht="23.85" hidden="false" customHeight="false" outlineLevel="0" collapsed="false">
      <c r="A64" s="16" t="s">
        <v>175</v>
      </c>
      <c r="B64" s="8" t="s">
        <v>178</v>
      </c>
      <c r="C64" s="16" t="s">
        <v>93</v>
      </c>
      <c r="D64" s="17" t="n">
        <v>46399</v>
      </c>
      <c r="E64" s="17" t="n">
        <v>46405</v>
      </c>
      <c r="F64" s="18" t="n">
        <f aca="false">E64-D64+1</f>
        <v>7</v>
      </c>
      <c r="G64" s="16" t="s">
        <v>94</v>
      </c>
    </row>
    <row r="65" customFormat="false" ht="15" hidden="false" customHeight="false" outlineLevel="0" collapsed="false">
      <c r="A65" s="16" t="s">
        <v>175</v>
      </c>
      <c r="B65" s="8" t="s">
        <v>179</v>
      </c>
      <c r="C65" s="16" t="s">
        <v>93</v>
      </c>
      <c r="D65" s="17" t="n">
        <v>46392</v>
      </c>
      <c r="E65" s="17" t="n">
        <v>46412</v>
      </c>
      <c r="F65" s="18" t="n">
        <f aca="false">E65-D65+1</f>
        <v>21</v>
      </c>
      <c r="G65" s="16" t="s">
        <v>94</v>
      </c>
    </row>
    <row r="66" customFormat="false" ht="15" hidden="false" customHeight="false" outlineLevel="0" collapsed="false">
      <c r="A66" s="16" t="s">
        <v>175</v>
      </c>
      <c r="B66" s="8" t="s">
        <v>180</v>
      </c>
      <c r="C66" s="16" t="s">
        <v>93</v>
      </c>
      <c r="D66" s="17" t="n">
        <v>46406</v>
      </c>
      <c r="E66" s="17" t="n">
        <v>46412</v>
      </c>
      <c r="F66" s="18" t="n">
        <f aca="false">E66-D66+1</f>
        <v>7</v>
      </c>
      <c r="G66" s="16" t="s">
        <v>94</v>
      </c>
    </row>
    <row r="67" customFormat="false" ht="15" hidden="false" customHeight="false" outlineLevel="0" collapsed="false">
      <c r="A67" s="9" t="s">
        <v>181</v>
      </c>
      <c r="B67" s="7" t="s">
        <v>182</v>
      </c>
      <c r="C67" s="9" t="s">
        <v>108</v>
      </c>
      <c r="D67" s="10" t="n">
        <v>46413</v>
      </c>
      <c r="E67" s="10" t="n">
        <v>46419</v>
      </c>
      <c r="F67" s="11" t="n">
        <f aca="false">E67-D67+1</f>
        <v>7</v>
      </c>
      <c r="G67" s="9" t="s">
        <v>94</v>
      </c>
    </row>
    <row r="68" customFormat="false" ht="23.85" hidden="false" customHeight="false" outlineLevel="0" collapsed="false">
      <c r="A68" s="9" t="s">
        <v>181</v>
      </c>
      <c r="B68" s="7" t="s">
        <v>183</v>
      </c>
      <c r="C68" s="9" t="s">
        <v>93</v>
      </c>
      <c r="D68" s="10" t="n">
        <v>46420</v>
      </c>
      <c r="E68" s="10" t="n">
        <v>46426</v>
      </c>
      <c r="F68" s="11" t="n">
        <f aca="false">E68-D68+1</f>
        <v>7</v>
      </c>
      <c r="G68" s="9" t="s">
        <v>94</v>
      </c>
    </row>
    <row r="69" customFormat="false" ht="15" hidden="false" customHeight="false" outlineLevel="0" collapsed="false">
      <c r="A69" s="9" t="s">
        <v>181</v>
      </c>
      <c r="B69" s="7" t="s">
        <v>184</v>
      </c>
      <c r="C69" s="9" t="s">
        <v>93</v>
      </c>
      <c r="D69" s="10" t="n">
        <v>46427</v>
      </c>
      <c r="E69" s="10" t="n">
        <v>46433</v>
      </c>
      <c r="F69" s="11" t="n">
        <f aca="false">E69-D69+1</f>
        <v>7</v>
      </c>
      <c r="G69" s="9" t="s">
        <v>94</v>
      </c>
    </row>
    <row r="70" customFormat="false" ht="15" hidden="false" customHeight="false" outlineLevel="0" collapsed="false">
      <c r="A70" s="9" t="s">
        <v>181</v>
      </c>
      <c r="B70" s="7" t="s">
        <v>185</v>
      </c>
      <c r="C70" s="9" t="s">
        <v>98</v>
      </c>
      <c r="D70" s="10" t="n">
        <v>46427</v>
      </c>
      <c r="E70" s="10" t="n">
        <v>46433</v>
      </c>
      <c r="F70" s="11" t="n">
        <f aca="false">E70-D70+1</f>
        <v>7</v>
      </c>
      <c r="G70" s="9" t="s">
        <v>94</v>
      </c>
    </row>
  </sheetData>
  <dataValidations count="1">
    <dataValidation allowBlank="true" errorStyle="stop" operator="between" showDropDown="false" showErrorMessage="false" showInputMessage="false" sqref="G2:G70" type="list">
      <formula1>"Not Started,In Progress,Blocked,Complete"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5" min="2" style="0" width="7"/>
  </cols>
  <sheetData>
    <row r="1" customFormat="false" ht="19.5" hidden="false" customHeight="true" outlineLevel="0" collapsed="false">
      <c r="A1" s="19" t="s">
        <v>50</v>
      </c>
      <c r="B1" s="20" t="n">
        <v>46266</v>
      </c>
      <c r="C1" s="20" t="n">
        <v>46273</v>
      </c>
      <c r="D1" s="20" t="n">
        <v>46280</v>
      </c>
      <c r="E1" s="20" t="n">
        <v>46287</v>
      </c>
      <c r="F1" s="20" t="n">
        <v>46294</v>
      </c>
      <c r="G1" s="20" t="n">
        <v>46301</v>
      </c>
      <c r="H1" s="20" t="n">
        <v>46308</v>
      </c>
      <c r="I1" s="20" t="n">
        <v>46315</v>
      </c>
      <c r="J1" s="20" t="n">
        <v>46322</v>
      </c>
      <c r="K1" s="20" t="n">
        <v>46329</v>
      </c>
      <c r="L1" s="20" t="n">
        <v>46336</v>
      </c>
      <c r="M1" s="20" t="n">
        <v>46343</v>
      </c>
      <c r="N1" s="20" t="n">
        <v>46350</v>
      </c>
      <c r="O1" s="20" t="n">
        <v>46357</v>
      </c>
      <c r="P1" s="20" t="n">
        <v>46364</v>
      </c>
      <c r="Q1" s="20" t="n">
        <v>46371</v>
      </c>
      <c r="R1" s="20" t="n">
        <v>46378</v>
      </c>
      <c r="S1" s="20" t="n">
        <v>46385</v>
      </c>
      <c r="T1" s="20" t="n">
        <v>46392</v>
      </c>
      <c r="U1" s="20" t="n">
        <v>46399</v>
      </c>
      <c r="V1" s="20" t="n">
        <v>46406</v>
      </c>
      <c r="W1" s="20" t="n">
        <v>46413</v>
      </c>
      <c r="X1" s="20" t="n">
        <v>46420</v>
      </c>
      <c r="Y1" s="20" t="n">
        <v>46427</v>
      </c>
    </row>
    <row r="2" customFormat="false" ht="15" hidden="false" customHeight="false" outlineLevel="0" collapsed="false">
      <c r="A2" s="7" t="s">
        <v>91</v>
      </c>
      <c r="B2" s="21"/>
      <c r="C2" s="21"/>
      <c r="D2" s="21"/>
      <c r="E2" s="21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customFormat="false" ht="15" hidden="false" customHeight="false" outlineLevel="0" collapsed="false">
      <c r="A3" s="7" t="s">
        <v>186</v>
      </c>
      <c r="B3" s="22"/>
      <c r="C3" s="22"/>
      <c r="D3" s="22"/>
      <c r="E3" s="22"/>
      <c r="F3" s="21"/>
      <c r="G3" s="21"/>
      <c r="H3" s="21"/>
      <c r="I3" s="21"/>
      <c r="J3" s="21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customFormat="false" ht="15" hidden="false" customHeight="false" outlineLevel="0" collapsed="false">
      <c r="A4" s="7" t="s">
        <v>187</v>
      </c>
      <c r="B4" s="22"/>
      <c r="C4" s="22"/>
      <c r="D4" s="22"/>
      <c r="E4" s="22"/>
      <c r="F4" s="21"/>
      <c r="G4" s="21"/>
      <c r="H4" s="21"/>
      <c r="I4" s="21"/>
      <c r="J4" s="21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customFormat="false" ht="15" hidden="false" customHeight="false" outlineLevel="0" collapsed="false">
      <c r="A5" s="7" t="s">
        <v>188</v>
      </c>
      <c r="B5" s="22"/>
      <c r="C5" s="22"/>
      <c r="D5" s="22"/>
      <c r="E5" s="22"/>
      <c r="F5" s="22"/>
      <c r="G5" s="21"/>
      <c r="H5" s="21"/>
      <c r="I5" s="21"/>
      <c r="J5" s="21"/>
      <c r="K5" s="21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customFormat="false" ht="15" hidden="false" customHeight="false" outlineLevel="0" collapsed="false">
      <c r="A6" s="7" t="s">
        <v>189</v>
      </c>
      <c r="B6" s="22"/>
      <c r="C6" s="22"/>
      <c r="D6" s="22"/>
      <c r="E6" s="22"/>
      <c r="F6" s="22"/>
      <c r="G6" s="22"/>
      <c r="H6" s="21"/>
      <c r="I6" s="21"/>
      <c r="J6" s="21"/>
      <c r="K6" s="21"/>
      <c r="L6" s="21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customFormat="false" ht="23.85" hidden="false" customHeight="false" outlineLevel="0" collapsed="false">
      <c r="A7" s="7" t="s">
        <v>190</v>
      </c>
      <c r="B7" s="22"/>
      <c r="C7" s="22"/>
      <c r="D7" s="22"/>
      <c r="E7" s="22"/>
      <c r="F7" s="22"/>
      <c r="G7" s="22"/>
      <c r="H7" s="21"/>
      <c r="I7" s="21"/>
      <c r="J7" s="21"/>
      <c r="K7" s="21"/>
      <c r="L7" s="21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customFormat="false" ht="15" hidden="false" customHeight="false" outlineLevel="0" collapsed="false">
      <c r="A8" s="7" t="s">
        <v>191</v>
      </c>
      <c r="B8" s="22"/>
      <c r="C8" s="22"/>
      <c r="D8" s="22"/>
      <c r="E8" s="22"/>
      <c r="F8" s="22"/>
      <c r="G8" s="22"/>
      <c r="H8" s="21"/>
      <c r="I8" s="21"/>
      <c r="J8" s="21"/>
      <c r="K8" s="21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customFormat="false" ht="15" hidden="false" customHeight="false" outlineLevel="0" collapsed="false">
      <c r="A9" s="7" t="s">
        <v>192</v>
      </c>
      <c r="B9" s="22"/>
      <c r="C9" s="22"/>
      <c r="D9" s="22"/>
      <c r="E9" s="22"/>
      <c r="F9" s="22"/>
      <c r="G9" s="22"/>
      <c r="H9" s="21"/>
      <c r="I9" s="21"/>
      <c r="J9" s="21"/>
      <c r="K9" s="21"/>
      <c r="L9" s="21"/>
      <c r="M9" s="21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customFormat="false" ht="15" hidden="false" customHeight="false" outlineLevel="0" collapsed="false">
      <c r="A10" s="7" t="s">
        <v>193</v>
      </c>
      <c r="B10" s="22"/>
      <c r="C10" s="22"/>
      <c r="D10" s="22"/>
      <c r="E10" s="22"/>
      <c r="F10" s="22"/>
      <c r="G10" s="22"/>
      <c r="H10" s="22"/>
      <c r="I10" s="22"/>
      <c r="J10" s="21"/>
      <c r="K10" s="21"/>
      <c r="L10" s="21"/>
      <c r="M10" s="21"/>
      <c r="N10" s="21"/>
      <c r="O10" s="21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customFormat="false" ht="23.85" hidden="false" customHeight="false" outlineLevel="0" collapsed="false">
      <c r="A11" s="7" t="s">
        <v>194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1"/>
      <c r="M11" s="21"/>
      <c r="N11" s="21"/>
      <c r="O11" s="21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customFormat="false" ht="15" hidden="false" customHeight="false" outlineLevel="0" collapsed="false">
      <c r="A12" s="7" t="s">
        <v>81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3"/>
      <c r="O12" s="23"/>
      <c r="P12" s="23"/>
      <c r="Q12" s="23"/>
      <c r="R12" s="23"/>
      <c r="S12" s="23"/>
      <c r="T12" s="22"/>
      <c r="U12" s="22"/>
      <c r="V12" s="22"/>
      <c r="W12" s="22"/>
      <c r="X12" s="22"/>
      <c r="Y12" s="22"/>
    </row>
    <row r="13" customFormat="false" ht="15" hidden="false" customHeight="false" outlineLevel="0" collapsed="false">
      <c r="A13" s="7" t="s">
        <v>195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1"/>
      <c r="U13" s="21"/>
      <c r="V13" s="21"/>
      <c r="W13" s="22"/>
      <c r="X13" s="22"/>
      <c r="Y13" s="22"/>
    </row>
    <row r="14" customFormat="false" ht="15" hidden="false" customHeight="false" outlineLevel="0" collapsed="false">
      <c r="A14" s="7" t="s">
        <v>196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1"/>
      <c r="X14" s="21"/>
      <c r="Y14" s="21"/>
    </row>
    <row r="16" customFormat="false" ht="15" hidden="false" customHeight="false" outlineLevel="0" collapsed="false">
      <c r="A16" s="3" t="s">
        <v>197</v>
      </c>
    </row>
    <row r="17" customFormat="false" ht="15" hidden="false" customHeight="false" outlineLevel="0" collapsed="false">
      <c r="A17" s="4" t="s">
        <v>198</v>
      </c>
      <c r="B17" s="21"/>
    </row>
    <row r="18" customFormat="false" ht="15" hidden="false" customHeight="false" outlineLevel="0" collapsed="false">
      <c r="A18" s="4" t="s">
        <v>199</v>
      </c>
      <c r="B18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40"/>
    <col collapsed="false" customWidth="true" hidden="false" outlineLevel="0" max="3" min="3" style="0" width="55"/>
  </cols>
  <sheetData>
    <row r="1" customFormat="false" ht="15" hidden="false" customHeight="false" outlineLevel="0" collapsed="false">
      <c r="A1" s="6" t="s">
        <v>200</v>
      </c>
      <c r="B1" s="6" t="s">
        <v>201</v>
      </c>
      <c r="C1" s="6" t="s">
        <v>202</v>
      </c>
    </row>
    <row r="2" customFormat="false" ht="23.85" hidden="false" customHeight="false" outlineLevel="0" collapsed="false">
      <c r="A2" s="7" t="s">
        <v>203</v>
      </c>
      <c r="B2" s="7" t="s">
        <v>204</v>
      </c>
      <c r="C2" s="7" t="s">
        <v>205</v>
      </c>
    </row>
    <row r="3" customFormat="false" ht="23.85" hidden="false" customHeight="false" outlineLevel="0" collapsed="false">
      <c r="A3" s="8" t="s">
        <v>206</v>
      </c>
      <c r="B3" s="8" t="s">
        <v>207</v>
      </c>
      <c r="C3" s="8" t="s">
        <v>208</v>
      </c>
    </row>
    <row r="4" customFormat="false" ht="15" hidden="false" customHeight="false" outlineLevel="0" collapsed="false">
      <c r="A4" s="7" t="s">
        <v>209</v>
      </c>
      <c r="B4" s="7" t="s">
        <v>210</v>
      </c>
      <c r="C4" s="7" t="s">
        <v>211</v>
      </c>
    </row>
    <row r="5" customFormat="false" ht="23.85" hidden="false" customHeight="false" outlineLevel="0" collapsed="false">
      <c r="A5" s="8" t="s">
        <v>212</v>
      </c>
      <c r="B5" s="8" t="s">
        <v>213</v>
      </c>
      <c r="C5" s="8" t="s">
        <v>214</v>
      </c>
    </row>
    <row r="6" customFormat="false" ht="15" hidden="false" customHeight="false" outlineLevel="0" collapsed="false">
      <c r="A6" s="7" t="s">
        <v>215</v>
      </c>
      <c r="B6" s="7" t="s">
        <v>216</v>
      </c>
      <c r="C6" s="7" t="s">
        <v>217</v>
      </c>
    </row>
    <row r="7" customFormat="false" ht="23.85" hidden="false" customHeight="false" outlineLevel="0" collapsed="false">
      <c r="A7" s="8" t="s">
        <v>218</v>
      </c>
      <c r="B7" s="8" t="s">
        <v>219</v>
      </c>
      <c r="C7" s="8" t="s">
        <v>220</v>
      </c>
    </row>
    <row r="8" customFormat="false" ht="23.85" hidden="false" customHeight="false" outlineLevel="0" collapsed="false">
      <c r="A8" s="7" t="s">
        <v>221</v>
      </c>
      <c r="B8" s="7" t="s">
        <v>222</v>
      </c>
      <c r="C8" s="7" t="s">
        <v>223</v>
      </c>
    </row>
    <row r="9" customFormat="false" ht="23.85" hidden="false" customHeight="false" outlineLevel="0" collapsed="false">
      <c r="A9" s="8" t="s">
        <v>224</v>
      </c>
      <c r="B9" s="8" t="s">
        <v>225</v>
      </c>
      <c r="C9" s="8" t="s">
        <v>226</v>
      </c>
    </row>
    <row r="10" customFormat="false" ht="23.85" hidden="false" customHeight="false" outlineLevel="0" collapsed="false">
      <c r="A10" s="7" t="s">
        <v>227</v>
      </c>
      <c r="B10" s="7" t="s">
        <v>228</v>
      </c>
      <c r="C10" s="7" t="s">
        <v>229</v>
      </c>
    </row>
    <row r="11" customFormat="false" ht="23.85" hidden="false" customHeight="false" outlineLevel="0" collapsed="false">
      <c r="A11" s="8" t="s">
        <v>230</v>
      </c>
      <c r="B11" s="8" t="s">
        <v>231</v>
      </c>
      <c r="C11" s="8" t="s">
        <v>232</v>
      </c>
    </row>
    <row r="12" customFormat="false" ht="23.85" hidden="false" customHeight="false" outlineLevel="0" collapsed="false">
      <c r="A12" s="7" t="s">
        <v>233</v>
      </c>
      <c r="B12" s="7" t="s">
        <v>234</v>
      </c>
      <c r="C12" s="7" t="s">
        <v>235</v>
      </c>
    </row>
    <row r="13" customFormat="false" ht="23.85" hidden="false" customHeight="false" outlineLevel="0" collapsed="false">
      <c r="A13" s="8" t="s">
        <v>236</v>
      </c>
      <c r="B13" s="8" t="s">
        <v>237</v>
      </c>
      <c r="C13" s="8" t="s">
        <v>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8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6" t="s">
        <v>239</v>
      </c>
      <c r="B1" s="6" t="s">
        <v>240</v>
      </c>
      <c r="C1" s="6" t="s">
        <v>89</v>
      </c>
      <c r="D1" s="6" t="s">
        <v>90</v>
      </c>
    </row>
    <row r="2" customFormat="false" ht="15" hidden="false" customHeight="false" outlineLevel="0" collapsed="false">
      <c r="A2" s="11" t="n">
        <v>1</v>
      </c>
      <c r="B2" s="7" t="s">
        <v>241</v>
      </c>
      <c r="C2" s="9" t="s">
        <v>242</v>
      </c>
      <c r="D2" s="9" t="s">
        <v>243</v>
      </c>
    </row>
    <row r="3" customFormat="false" ht="23.85" hidden="false" customHeight="false" outlineLevel="0" collapsed="false">
      <c r="A3" s="18" t="n">
        <v>2</v>
      </c>
      <c r="B3" s="8" t="s">
        <v>244</v>
      </c>
      <c r="C3" s="16" t="s">
        <v>242</v>
      </c>
      <c r="D3" s="16" t="s">
        <v>243</v>
      </c>
    </row>
    <row r="4" customFormat="false" ht="15" hidden="false" customHeight="false" outlineLevel="0" collapsed="false">
      <c r="A4" s="11" t="n">
        <v>3</v>
      </c>
      <c r="B4" s="7" t="s">
        <v>245</v>
      </c>
      <c r="C4" s="9" t="s">
        <v>242</v>
      </c>
      <c r="D4" s="9" t="s">
        <v>243</v>
      </c>
    </row>
    <row r="5" customFormat="false" ht="15" hidden="false" customHeight="false" outlineLevel="0" collapsed="false">
      <c r="A5" s="18" t="n">
        <v>4</v>
      </c>
      <c r="B5" s="8" t="s">
        <v>246</v>
      </c>
      <c r="C5" s="16" t="s">
        <v>242</v>
      </c>
      <c r="D5" s="16" t="s">
        <v>243</v>
      </c>
    </row>
    <row r="6" customFormat="false" ht="15" hidden="false" customHeight="false" outlineLevel="0" collapsed="false">
      <c r="A6" s="11" t="n">
        <v>5</v>
      </c>
      <c r="B6" s="7" t="s">
        <v>247</v>
      </c>
      <c r="C6" s="9" t="s">
        <v>242</v>
      </c>
      <c r="D6" s="9" t="s">
        <v>243</v>
      </c>
    </row>
    <row r="7" customFormat="false" ht="15" hidden="false" customHeight="false" outlineLevel="0" collapsed="false">
      <c r="A7" s="18" t="n">
        <v>6</v>
      </c>
      <c r="B7" s="8" t="s">
        <v>248</v>
      </c>
      <c r="C7" s="16" t="s">
        <v>242</v>
      </c>
      <c r="D7" s="16" t="s">
        <v>243</v>
      </c>
    </row>
    <row r="8" customFormat="false" ht="23.85" hidden="false" customHeight="false" outlineLevel="0" collapsed="false">
      <c r="A8" s="11" t="n">
        <v>7</v>
      </c>
      <c r="B8" s="7" t="s">
        <v>249</v>
      </c>
      <c r="C8" s="9" t="s">
        <v>242</v>
      </c>
      <c r="D8" s="9" t="s">
        <v>243</v>
      </c>
    </row>
    <row r="9" customFormat="false" ht="15" hidden="false" customHeight="false" outlineLevel="0" collapsed="false">
      <c r="A9" s="18" t="n">
        <v>8</v>
      </c>
      <c r="B9" s="8" t="s">
        <v>250</v>
      </c>
      <c r="C9" s="16" t="s">
        <v>242</v>
      </c>
      <c r="D9" s="16" t="s">
        <v>243</v>
      </c>
    </row>
    <row r="10" customFormat="false" ht="15" hidden="false" customHeight="false" outlineLevel="0" collapsed="false">
      <c r="A10" s="11" t="n">
        <v>9</v>
      </c>
      <c r="B10" s="7" t="s">
        <v>251</v>
      </c>
      <c r="C10" s="9" t="s">
        <v>242</v>
      </c>
      <c r="D10" s="9" t="s">
        <v>243</v>
      </c>
    </row>
    <row r="11" customFormat="false" ht="23.85" hidden="false" customHeight="false" outlineLevel="0" collapsed="false">
      <c r="A11" s="18" t="n">
        <v>10</v>
      </c>
      <c r="B11" s="8" t="s">
        <v>252</v>
      </c>
      <c r="C11" s="16" t="s">
        <v>242</v>
      </c>
      <c r="D11" s="16" t="s">
        <v>243</v>
      </c>
    </row>
    <row r="12" customFormat="false" ht="23.85" hidden="false" customHeight="false" outlineLevel="0" collapsed="false">
      <c r="A12" s="11" t="n">
        <v>11</v>
      </c>
      <c r="B12" s="7" t="s">
        <v>253</v>
      </c>
      <c r="C12" s="9" t="s">
        <v>242</v>
      </c>
      <c r="D12" s="9" t="s">
        <v>243</v>
      </c>
    </row>
    <row r="13" customFormat="false" ht="23.85" hidden="false" customHeight="false" outlineLevel="0" collapsed="false">
      <c r="A13" s="18" t="n">
        <v>12</v>
      </c>
      <c r="B13" s="8" t="s">
        <v>254</v>
      </c>
      <c r="C13" s="16" t="s">
        <v>242</v>
      </c>
      <c r="D13" s="16" t="s">
        <v>243</v>
      </c>
    </row>
    <row r="14" customFormat="false" ht="23.85" hidden="false" customHeight="false" outlineLevel="0" collapsed="false">
      <c r="A14" s="11" t="n">
        <v>13</v>
      </c>
      <c r="B14" s="7" t="s">
        <v>255</v>
      </c>
      <c r="C14" s="9" t="s">
        <v>242</v>
      </c>
      <c r="D14" s="9" t="s">
        <v>243</v>
      </c>
    </row>
  </sheetData>
  <dataValidations count="1">
    <dataValidation allowBlank="true" errorStyle="stop" operator="between" showDropDown="false" showErrorMessage="false" showInputMessage="false" sqref="D2:D14" type="list">
      <formula1>"Open,In Discussion,Resolved"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65"/>
  </cols>
  <sheetData>
    <row r="1" customFormat="false" ht="15" hidden="false" customHeight="false" outlineLevel="0" collapsed="false">
      <c r="A1" s="6" t="s">
        <v>256</v>
      </c>
      <c r="B1" s="6" t="s">
        <v>257</v>
      </c>
      <c r="C1" s="6" t="s">
        <v>258</v>
      </c>
    </row>
    <row r="2" customFormat="false" ht="15" hidden="false" customHeight="false" outlineLevel="0" collapsed="false">
      <c r="A2" s="7" t="s">
        <v>259</v>
      </c>
      <c r="B2" s="7" t="s">
        <v>260</v>
      </c>
      <c r="C2" s="7" t="s">
        <v>261</v>
      </c>
    </row>
    <row r="3" customFormat="false" ht="15" hidden="false" customHeight="false" outlineLevel="0" collapsed="false">
      <c r="A3" s="8" t="s">
        <v>262</v>
      </c>
      <c r="B3" s="8" t="s">
        <v>263</v>
      </c>
      <c r="C3" s="8" t="s">
        <v>264</v>
      </c>
    </row>
    <row r="4" customFormat="false" ht="15" hidden="false" customHeight="false" outlineLevel="0" collapsed="false">
      <c r="A4" s="7" t="s">
        <v>262</v>
      </c>
      <c r="B4" s="7" t="s">
        <v>265</v>
      </c>
      <c r="C4" s="7" t="s">
        <v>264</v>
      </c>
    </row>
    <row r="5" customFormat="false" ht="15" hidden="false" customHeight="false" outlineLevel="0" collapsed="false">
      <c r="A5" s="8" t="s">
        <v>262</v>
      </c>
      <c r="B5" s="8" t="s">
        <v>266</v>
      </c>
      <c r="C5" s="8" t="s">
        <v>264</v>
      </c>
    </row>
    <row r="6" customFormat="false" ht="15" hidden="false" customHeight="false" outlineLevel="0" collapsed="false">
      <c r="A6" s="7" t="s">
        <v>267</v>
      </c>
      <c r="B6" s="7" t="s">
        <v>268</v>
      </c>
      <c r="C6" s="7" t="s">
        <v>269</v>
      </c>
    </row>
    <row r="7" customFormat="false" ht="15" hidden="false" customHeight="false" outlineLevel="0" collapsed="false">
      <c r="A7" s="8" t="s">
        <v>267</v>
      </c>
      <c r="B7" s="8" t="s">
        <v>270</v>
      </c>
      <c r="C7" s="8" t="s">
        <v>271</v>
      </c>
    </row>
    <row r="8" customFormat="false" ht="15" hidden="false" customHeight="false" outlineLevel="0" collapsed="false">
      <c r="A8" s="7" t="s">
        <v>267</v>
      </c>
      <c r="B8" s="7" t="s">
        <v>129</v>
      </c>
      <c r="C8" s="7" t="s">
        <v>272</v>
      </c>
    </row>
    <row r="9" customFormat="false" ht="15" hidden="false" customHeight="false" outlineLevel="0" collapsed="false">
      <c r="A9" s="8" t="s">
        <v>267</v>
      </c>
      <c r="B9" s="8" t="s">
        <v>273</v>
      </c>
      <c r="C9" s="8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2026-08-31T18:01:39Z</dcterms:created>
  <dc:creator>openpyxl</dc:creator>
  <dc:description/>
  <dc:language>en-US</dc:language>
  <cp:lastModifiedBy/>
  <dcterms:modified xsi:type="dcterms:W3CDTF">2026-08-31T18:01:39Z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